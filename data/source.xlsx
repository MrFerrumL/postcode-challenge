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atya/Downloads/"/>
    </mc:Choice>
  </mc:AlternateContent>
  <xr:revisionPtr revIDLastSave="0" documentId="13_ncr:1_{960F9087-FB8F-0B49-87BB-3B95E9BF98BF}" xr6:coauthVersionLast="47" xr6:coauthVersionMax="47" xr10:uidLastSave="{00000000-0000-0000-0000-000000000000}"/>
  <bookViews>
    <workbookView xWindow="0" yWindow="760" windowWidth="30180" windowHeight="17500" xr2:uid="{00000000-000D-0000-FFFF-FFFF00000000}"/>
  </bookViews>
  <sheets>
    <sheet name="Датасет(обновленный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5" i="1" l="1"/>
  <c r="U85" i="1"/>
  <c r="D85" i="1"/>
  <c r="T85" i="1"/>
  <c r="B53" i="1"/>
  <c r="B54" i="1"/>
  <c r="B58" i="1"/>
  <c r="B57" i="1"/>
  <c r="B56" i="1"/>
  <c r="B55" i="1"/>
  <c r="A58" i="1"/>
  <c r="A57" i="1"/>
  <c r="A56" i="1"/>
  <c r="A55" i="1"/>
  <c r="A54" i="1"/>
</calcChain>
</file>

<file path=xl/sharedStrings.xml><?xml version="1.0" encoding="utf-8"?>
<sst xmlns="http://schemas.openxmlformats.org/spreadsheetml/2006/main" count="772" uniqueCount="279">
  <si>
    <t>Tasks (Таблица задач и скоринга)</t>
  </si>
  <si>
    <t>Номер инициативы</t>
  </si>
  <si>
    <t>task_id</t>
  </si>
  <si>
    <t>parent_id</t>
  </si>
  <si>
    <t>summary</t>
  </si>
  <si>
    <t>team_id</t>
  </si>
  <si>
    <t>status</t>
  </si>
  <si>
    <t>rung</t>
  </si>
  <si>
    <t>estimation_sp</t>
  </si>
  <si>
    <t>created_at</t>
  </si>
  <si>
    <t>planned_start</t>
  </si>
  <si>
    <t>planned_end</t>
  </si>
  <si>
    <t>actual_start</t>
  </si>
  <si>
    <t>actual_end</t>
  </si>
  <si>
    <t>estimated_hh</t>
  </si>
  <si>
    <t>плановый результат</t>
  </si>
  <si>
    <t>будет включено в спринт</t>
  </si>
  <si>
    <t>заказчик</t>
  </si>
  <si>
    <t>исполнитель</t>
  </si>
  <si>
    <t>PRODF-7120</t>
  </si>
  <si>
    <t>ONK-2475</t>
  </si>
  <si>
    <t>BR-151</t>
  </si>
  <si>
    <t>Модернизация фискального ядра (Проект Ф-22)</t>
  </si>
  <si>
    <t>Team-L</t>
  </si>
  <si>
    <t>Done</t>
  </si>
  <si>
    <t>6. Функционал реализован и перенесен в промышленную эксплуатацию</t>
  </si>
  <si>
    <t>Да</t>
  </si>
  <si>
    <t>ASUKD-5222</t>
  </si>
  <si>
    <t>Team-K</t>
  </si>
  <si>
    <t>KP-3898</t>
  </si>
  <si>
    <t>Team-Platform</t>
  </si>
  <si>
    <t>InProgress</t>
  </si>
  <si>
    <t>ONK-2914</t>
  </si>
  <si>
    <t>ToDo</t>
  </si>
  <si>
    <t>ASUKD-5918</t>
  </si>
  <si>
    <t>KP-0000</t>
  </si>
  <si>
    <t>PRODF-7121</t>
  </si>
  <si>
    <t>MOB-7011</t>
  </si>
  <si>
    <t>BR-152</t>
  </si>
  <si>
    <t>Редизайн личного кабинета и UI-кита</t>
  </si>
  <si>
    <t>MOB-7012</t>
  </si>
  <si>
    <t>Реализация мобильного виджета доставки</t>
  </si>
  <si>
    <t>MOB-7013</t>
  </si>
  <si>
    <t>Адаптация UI под планшетные версии</t>
  </si>
  <si>
    <t>PRODF-7122</t>
  </si>
  <si>
    <t>ANL-3041</t>
  </si>
  <si>
    <t>BR-153</t>
  </si>
  <si>
    <t>Анализ узких мест интеграционного шлюза</t>
  </si>
  <si>
    <t>2. Аналитика и архитектура завершены</t>
  </si>
  <si>
    <t>QA-9022</t>
  </si>
  <si>
    <t>Автоматизация регрессионных тестов API</t>
  </si>
  <si>
    <t>ANL-3042</t>
  </si>
  <si>
    <t>Проектирование очередей отказоустойчивости</t>
  </si>
  <si>
    <t>PRODF-7123</t>
  </si>
  <si>
    <t>MP-101</t>
  </si>
  <si>
    <t>BR-155</t>
  </si>
  <si>
    <t>Проектирование схемы данных шлюза маркетплейсов</t>
  </si>
  <si>
    <t>MP-102</t>
  </si>
  <si>
    <t>Разработка API-коннекторов к витринам (Проект МП)</t>
  </si>
  <si>
    <t>MP-103</t>
  </si>
  <si>
    <t>Сквозное тестирование сценариев синхронизации</t>
  </si>
  <si>
    <t>PRODF-7124</t>
  </si>
  <si>
    <t>DB-201</t>
  </si>
  <si>
    <t>BR-156</t>
  </si>
  <si>
    <t>Аудит хранимых процедур и подготовка схемы миграции</t>
  </si>
  <si>
    <t>DB-202</t>
  </si>
  <si>
    <t>Перенос логики и рефакторинг сервисов (Проект СУБД)</t>
  </si>
  <si>
    <t>DB-203</t>
  </si>
  <si>
    <t>Развертывание отказоустойчивого кластера и CI/CD</t>
  </si>
  <si>
    <t>PRODF-7125</t>
  </si>
  <si>
    <t>AI-301</t>
  </si>
  <si>
    <t>BR-157</t>
  </si>
  <si>
    <t>Разметка датасета диалогов и пилотное обучение LLM</t>
  </si>
  <si>
    <t>AI-302</t>
  </si>
  <si>
    <t>Интеграция ИИ-модели с витриной оператора КЦ</t>
  </si>
  <si>
    <t>AI-303</t>
  </si>
  <si>
    <t>Сбор обратной связи и дообучение классификатора</t>
  </si>
  <si>
    <t>PRODF-7126</t>
  </si>
  <si>
    <t>SRV-4011</t>
  </si>
  <si>
    <t>BR-158</t>
  </si>
  <si>
    <t>Оптимизация логистических маршрутов (Проект Оптима)</t>
  </si>
  <si>
    <t>Team-Alpha</t>
  </si>
  <si>
    <t>SRV-4012</t>
  </si>
  <si>
    <t>Внедрение модуля динамического ценообразования</t>
  </si>
  <si>
    <t>SRV-4010</t>
  </si>
  <si>
    <t>Геокодирование адресов и картография</t>
  </si>
  <si>
    <t>PRODF-7127</t>
  </si>
  <si>
    <t>SRV-4021</t>
  </si>
  <si>
    <t>BR-159</t>
  </si>
  <si>
    <t>Шлюз транзакционных и сервисных сообщений</t>
  </si>
  <si>
    <t>Team-Beta</t>
  </si>
  <si>
    <t>4. Функционал реализован и готов к ИТ</t>
  </si>
  <si>
    <t>SRV-4022</t>
  </si>
  <si>
    <t>Настройка каскадных правил отправки (SMS/Push)</t>
  </si>
  <si>
    <t>SRV-4023</t>
  </si>
  <si>
    <t>Подключение резервных SMS-провайдеров</t>
  </si>
  <si>
    <t>PRODF-7128</t>
  </si>
  <si>
    <t>SRV-4031</t>
  </si>
  <si>
    <t>BR-160</t>
  </si>
  <si>
    <t>Кабинет мерчанта: загрузка товарных матриц</t>
  </si>
  <si>
    <t>SRV-4032</t>
  </si>
  <si>
    <t>Интеграция ЛК с финансовым биллингом компании</t>
  </si>
  <si>
    <t>SRV-4033</t>
  </si>
  <si>
    <t>Генерация закрывающих документов для юрлиц</t>
  </si>
  <si>
    <t>PRODF-7129</t>
  </si>
  <si>
    <t>SRV-4041</t>
  </si>
  <si>
    <t>BR-161</t>
  </si>
  <si>
    <t>ЕСИА-авторизация и проверка учетных записей</t>
  </si>
  <si>
    <t>Team-Delta</t>
  </si>
  <si>
    <t>SRV-4042</t>
  </si>
  <si>
    <t>Подключение коннекторов СМЭВ 3.0</t>
  </si>
  <si>
    <t>SRV-4043</t>
  </si>
  <si>
    <t>Проектирование витрины регламентированных справок</t>
  </si>
  <si>
    <t>PRODF-7130</t>
  </si>
  <si>
    <t>SRV-4051</t>
  </si>
  <si>
    <t>BR-162</t>
  </si>
  <si>
    <t>Архитектура шины обмена кадровыми документами</t>
  </si>
  <si>
    <t>SRV-4052</t>
  </si>
  <si>
    <t>Внедрение КЭП (Квалифицированной ЭЦП) инженеров</t>
  </si>
  <si>
    <t>PRODF-7131</t>
  </si>
  <si>
    <t>SRV-4061</t>
  </si>
  <si>
    <t>BR-163</t>
  </si>
  <si>
    <t>Сбор логов производительности ядра и СУБД</t>
  </si>
  <si>
    <t>SRV-4062</t>
  </si>
  <si>
    <t>Визуализация дашбордов Grafana / Prometheus</t>
  </si>
  <si>
    <t>SRV-4063</t>
  </si>
  <si>
    <t>Настройка алертинга критических сбоев</t>
  </si>
  <si>
    <t>PRODF-7132</t>
  </si>
  <si>
    <t>SRV-4071</t>
  </si>
  <si>
    <t>BR-164</t>
  </si>
  <si>
    <t>Анализ медленных запросов платежного шлюза</t>
  </si>
  <si>
    <t>SRV-4072</t>
  </si>
  <si>
    <t>Перевод эквайринга на асинхронную обработку</t>
  </si>
  <si>
    <t>PRODF-7133</t>
  </si>
  <si>
    <t>SRV-4081</t>
  </si>
  <si>
    <t>BR-165</t>
  </si>
  <si>
    <t>Витрина данных коммерческой аналитики</t>
  </si>
  <si>
    <t>SRV-4082</t>
  </si>
  <si>
    <t>Оптимизация витрин и агрегатов ClickHouse</t>
  </si>
  <si>
    <t>PRODF-7134</t>
  </si>
  <si>
    <t>SRV-4091</t>
  </si>
  <si>
    <t>BR-166</t>
  </si>
  <si>
    <t>Проектирование витрины "Программа лояльности"</t>
  </si>
  <si>
    <t>SRV-4092</t>
  </si>
  <si>
    <t>Реализация процессинга бонусных баллов</t>
  </si>
  <si>
    <t>SRV-4093</t>
  </si>
  <si>
    <t>Интеграция лояльности с кассовым ПО</t>
  </si>
  <si>
    <t>Estimates. Калькулятор сметы в человеко-часах (ЧЧ)</t>
  </si>
  <si>
    <t>Роль</t>
  </si>
  <si>
    <t>Аналитик</t>
  </si>
  <si>
    <t>Аналитик 1С</t>
  </si>
  <si>
    <t>Аналитик Big Data</t>
  </si>
  <si>
    <t>Архитектор 1С</t>
  </si>
  <si>
    <t>Архитектор решений</t>
  </si>
  <si>
    <t>ДевОпс</t>
  </si>
  <si>
    <t>Дизайнер</t>
  </si>
  <si>
    <t>Разработчик .net</t>
  </si>
  <si>
    <t>Разработчик 1С</t>
  </si>
  <si>
    <t>Разработчик Android</t>
  </si>
  <si>
    <t>Разработчик Big Data</t>
  </si>
  <si>
    <t>Разработчик iOS</t>
  </si>
  <si>
    <t>Разработчик Java</t>
  </si>
  <si>
    <t>Разработчик Java Script</t>
  </si>
  <si>
    <t>Разработчик BigData</t>
  </si>
  <si>
    <t>Руководитель проекта</t>
  </si>
  <si>
    <t>Руководитель BigData</t>
  </si>
  <si>
    <t>Специалист поддержки</t>
  </si>
  <si>
    <t>Специалист поддержки 1С</t>
  </si>
  <si>
    <t>Специалист поддержки BigData</t>
  </si>
  <si>
    <t>Тестировщик</t>
  </si>
  <si>
    <t>Тестировщик (Автотестирование)</t>
  </si>
  <si>
    <t>Итого по ролям</t>
  </si>
  <si>
    <t>Task_dependencies (Связи зависимостей)</t>
  </si>
  <si>
    <t>blocking_task_id</t>
  </si>
  <si>
    <t>blocked_task_id</t>
  </si>
  <si>
    <t>dependency_type</t>
  </si>
  <si>
    <t>has to be done before</t>
  </si>
  <si>
    <t>is required for</t>
  </si>
  <si>
    <t>depends on</t>
  </si>
  <si>
    <t>Engineers_profiles (Профили инженеров / Звездная карта)</t>
  </si>
  <si>
    <t>engineer_id</t>
  </si>
  <si>
    <t>role</t>
  </si>
  <si>
    <t>grade</t>
  </si>
  <si>
    <t>skills_declared</t>
  </si>
  <si>
    <t>capacity_rate</t>
  </si>
  <si>
    <t>ENG-401</t>
  </si>
  <si>
    <t>Middle</t>
  </si>
  <si>
    <t>Java, Spring Boot, PostgreSQL, Hibernate, Apache Kafka</t>
  </si>
  <si>
    <t>1.0</t>
  </si>
  <si>
    <t>ENG-402</t>
  </si>
  <si>
    <t>Java, Spring Cloud, PostgreSQL, Docker, Liquibase</t>
  </si>
  <si>
    <t>ENG-403</t>
  </si>
  <si>
    <t>Senior</t>
  </si>
  <si>
    <t>Java, Spring Framework, PostgreSQL, RabbitMQ, Microservices Архитектура</t>
  </si>
  <si>
    <t>ENG-404</t>
  </si>
  <si>
    <t>SQL, JSON, XML, REST API, SOAP, Power BI, Confluence, BPMN, UML</t>
  </si>
  <si>
    <t>ENG-405</t>
  </si>
  <si>
    <t>Figma, Adobe Illustrator, UX/UI, HTML/CSS, A/B testing, CJM</t>
  </si>
  <si>
    <t>0.5</t>
  </si>
  <si>
    <t>ENG-406</t>
  </si>
  <si>
    <t>Junior</t>
  </si>
  <si>
    <t>JavaScript, React, REST API, GraphQL, HTML/CSS, Git</t>
  </si>
  <si>
    <t>ENG-407</t>
  </si>
  <si>
    <t>JavaScript, TypeScript, Vue.js, Angular, REST API, GraphQL, WebSocket</t>
  </si>
  <si>
    <t>ENG-408</t>
  </si>
  <si>
    <t>Usability, REST API, SQL, DevTools, Regression/Smoke/Functional testing, Postman</t>
  </si>
  <si>
    <t>ENG-409</t>
  </si>
  <si>
    <t>Usability, REST API, Ручное тестирование, Снифферы трафика (Charles)</t>
  </si>
  <si>
    <t>ENG-410</t>
  </si>
  <si>
    <t>Java, Selenium WebDriver, Playwright, Pytest, JUnit, SQL, Postman, CI/CD</t>
  </si>
  <si>
    <t>ENG-411</t>
  </si>
  <si>
    <t>Usability, REST API, SQL, DevTools, Regression/Smoke/Functional testing</t>
  </si>
  <si>
    <t>ENG-412</t>
  </si>
  <si>
    <t>Usability, REST API, Тестирование безопасности, Нагрузочное тестирование (JMeter)</t>
  </si>
  <si>
    <t>ENG-413</t>
  </si>
  <si>
    <t>Java, Selenium WebDriver, Playwright, Pytest, JUnit, GitLab CI, SQL, Postman</t>
  </si>
  <si>
    <t>ENG-414</t>
  </si>
  <si>
    <t>Java, Core Spring, PostgreSQL, gRPC, ElasticSearch, Архитектура БД</t>
  </si>
  <si>
    <t>ENG-415</t>
  </si>
  <si>
    <t>Usability, REST API, SQL, DevTools, Интеграционное тестирование</t>
  </si>
  <si>
    <t>ENG-416</t>
  </si>
  <si>
    <t>Разработчик IOS</t>
  </si>
  <si>
    <t>Swift, SwiftUI, UIKit, MVC, MVVM, ARKit, CoreLocation, SQLite, CocoaPods</t>
  </si>
  <si>
    <t>ENG-417</t>
  </si>
  <si>
    <t>Kotlin, Java, Android SDK, Gradle, Jetpack Compose, Material Design, Dependency Injection, Room, SQLite</t>
  </si>
  <si>
    <t>ENG-418</t>
  </si>
  <si>
    <t>TOGAF, Архитектура ПО, Микросервисы, Проектирование интеграций, REST/gRPC</t>
  </si>
  <si>
    <t>ENG-419</t>
  </si>
  <si>
    <t>Девопс</t>
  </si>
  <si>
    <t>Linux, Docker, Kubernetes, CI/CD (GitLab, Jenkins), Ansible, Terraform, Prometheus</t>
  </si>
  <si>
    <t>ENG-420</t>
  </si>
  <si>
    <t>C#, .NET Core, ASP.NET, Entity Framework, MS SQL, LINQ, Microservices</t>
  </si>
  <si>
    <t>ENG-421</t>
  </si>
  <si>
    <t>Python, SQL, Hadoop, Spark, Математическая статистика, BI инструменты</t>
  </si>
  <si>
    <t>ENG-422</t>
  </si>
  <si>
    <t>Python, PySpark, Scala, Hadoop, Hive, Airflow, Оптимизация ETL</t>
  </si>
  <si>
    <t>ENG-423</t>
  </si>
  <si>
    <t>Управление Data-командами, Agile/Scrum, Продуктовые метрики ИИ, Роадмапы</t>
  </si>
  <si>
    <t>ENG-424</t>
  </si>
  <si>
    <t>Java, Spring Boot, Микросервисы, PostgreSQL, Kafka, CI/CD</t>
  </si>
  <si>
    <t>ENG-425</t>
  </si>
  <si>
    <t>Системный анализ, REST API, SQL, BPMN, UML, Confluence</t>
  </si>
  <si>
    <t>ENG-426</t>
  </si>
  <si>
    <t>Python, SQL, Tableau, Математический анализ, Pandas</t>
  </si>
  <si>
    <t>ENG-427</t>
  </si>
  <si>
    <t>Java, Core, Spring Core, Hibernate, MS SQL, Git</t>
  </si>
  <si>
    <t>ENG-428</t>
  </si>
  <si>
    <t>Бизнес-анализ, Сбор требований, ТЗ, UML, REST/SOAP интеграции</t>
  </si>
  <si>
    <t>ENG-429</t>
  </si>
  <si>
    <t>Java, Spring Boot, Архитектура ИТ-систем, gRPC, Docker, Kubernetes</t>
  </si>
  <si>
    <t>ENG-430</t>
  </si>
  <si>
    <t>Функциональное тестирование, Регресс, Postman, SQL, Jira</t>
  </si>
  <si>
    <t>Team_history (История емкости спринтов)</t>
  </si>
  <si>
    <t>snapshot_date</t>
  </si>
  <si>
    <t>velocity_achieved</t>
  </si>
  <si>
    <t>planned_sp</t>
  </si>
  <si>
    <t>Итог разработки, выбирается заказчиком и исполнителем на этапе планирования</t>
  </si>
  <si>
    <t>1. Аналитика и архитектура выполнены частично</t>
  </si>
  <si>
    <t>3. Функционал реализован частично, работы будут продолжены</t>
  </si>
  <si>
    <t>5. Функционал реализован и перенесен в опытную эксплуатацию</t>
  </si>
  <si>
    <t>не будет взято в квартал</t>
  </si>
  <si>
    <t>Отменено зака</t>
  </si>
  <si>
    <t>Причины расхождения планов заказчика и исполнителя</t>
  </si>
  <si>
    <t>Не оценивалась</t>
  </si>
  <si>
    <t>Отсутствие ресурсов</t>
  </si>
  <si>
    <t>Отсутствует готовность смежных команд</t>
  </si>
  <si>
    <t>Превышение плана</t>
  </si>
  <si>
    <t>Изменились требования</t>
  </si>
  <si>
    <t>Результаты работ при закрытии задачи</t>
  </si>
  <si>
    <t>планируемый результат работ достигнут</t>
  </si>
  <si>
    <t>планируемый результат работ НЕ достигнут</t>
  </si>
  <si>
    <t>Работы отменены/перенесены заказчиком</t>
  </si>
  <si>
    <t>spent_time</t>
  </si>
  <si>
    <t>Spent_time_roles. Количество затраченного времени по ролям в задачах InProgress</t>
  </si>
  <si>
    <t>затраченное время по ролям</t>
  </si>
  <si>
    <t>Исходное время</t>
  </si>
  <si>
    <t>итоговый результат</t>
  </si>
  <si>
    <t>2. Аналитика и architecture завершены</t>
  </si>
  <si>
    <t>6. Функционал реализовал и перенесен в промышленную эксплуатацию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</si>
</sst>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7" formatCode="dd/mm/yy;@"/>
  </numFmts>
  <fonts count="11">
    <font>
      <sz val="10"/>
      <color rgb="FF000000"/>
      <name val="Arial"/>
      <scheme val="minor"/>
    </font>
    <font>
      <b/>
      <sz val="11"/>
      <color theme="1"/>
      <name val="Monospace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1F1F1F"/>
      <name val="Roboto"/>
    </font>
    <font>
      <sz val="10"/>
      <color rgb="FF000000"/>
      <name val="Arial"/>
      <family val="2"/>
    </font>
    <font>
      <b/>
      <sz val="10"/>
      <color rgb="FF1F1F1F"/>
      <name val="Roboto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1F1F1F"/>
      <name val="Roboto"/>
      <charset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5" fontId="3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3" fillId="0" borderId="2" xfId="0" applyFont="1" applyBorder="1"/>
    <xf numFmtId="0" fontId="0" fillId="0" borderId="2" xfId="0" applyBorder="1"/>
    <xf numFmtId="0" fontId="2" fillId="0" borderId="2" xfId="0" applyFont="1" applyBorder="1"/>
    <xf numFmtId="0" fontId="8" fillId="0" borderId="0" xfId="0" applyFont="1"/>
    <xf numFmtId="0" fontId="2" fillId="0" borderId="3" xfId="0" applyFont="1" applyBorder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2" xfId="0" applyFont="1" applyBorder="1"/>
    <xf numFmtId="0" fontId="3" fillId="0" borderId="6" xfId="0" applyFont="1" applyBorder="1"/>
    <xf numFmtId="0" fontId="9" fillId="0" borderId="0" xfId="0" applyFont="1"/>
    <xf numFmtId="0" fontId="7" fillId="0" borderId="0" xfId="0" applyFont="1" applyAlignment="1">
      <alignment horizontal="left"/>
    </xf>
    <xf numFmtId="0" fontId="0" fillId="2" borderId="0" xfId="0" applyFill="1"/>
    <xf numFmtId="0" fontId="7" fillId="0" borderId="0" xfId="0" applyFont="1"/>
    <xf numFmtId="0" fontId="10" fillId="0" borderId="2" xfId="0" applyFont="1" applyBorder="1" applyAlignment="1">
      <alignment horizontal="center" vertical="top"/>
    </xf>
    <xf numFmtId="0" fontId="3" fillId="0" borderId="0" xfId="0" applyFont="1" applyBorder="1"/>
    <xf numFmtId="14" fontId="0" fillId="0" borderId="0" xfId="0" applyNumberFormat="1"/>
    <xf numFmtId="167" fontId="0" fillId="0" borderId="0" xfId="0" applyNumberFormat="1"/>
    <xf numFmtId="0" fontId="8" fillId="0" borderId="3" xfId="0" applyFont="1" applyBorder="1" applyAlignment="1"/>
    <xf numFmtId="0" fontId="8" fillId="0" borderId="4" xfId="0" applyFont="1" applyBorder="1" applyAlignment="1"/>
    <xf numFmtId="0" fontId="8" fillId="0" borderId="5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T185"/>
  <sheetViews>
    <sheetView tabSelected="1" topLeftCell="A39" workbookViewId="0">
      <pane xSplit="1" topLeftCell="D1" activePane="topRight" state="frozen"/>
      <selection activeCell="A53" sqref="A53"/>
      <selection pane="topRight" activeCell="U52" sqref="U52"/>
    </sheetView>
  </sheetViews>
  <sheetFormatPr baseColWidth="10" defaultColWidth="12.6640625" defaultRowHeight="15.75" customHeight="1"/>
  <cols>
    <col min="1" max="1" width="16.6640625" customWidth="1"/>
    <col min="4" max="4" width="10.6640625" customWidth="1"/>
    <col min="5" max="5" width="12.33203125" customWidth="1"/>
    <col min="12" max="16" width="15.1640625" bestFit="1" customWidth="1"/>
  </cols>
  <sheetData>
    <row r="1" spans="1:29" ht="15">
      <c r="A1" s="1" t="s">
        <v>0</v>
      </c>
      <c r="B1" s="1"/>
    </row>
    <row r="2" spans="1:29" ht="15.7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272</v>
      </c>
      <c r="I2" s="24" t="s">
        <v>8</v>
      </c>
      <c r="J2" s="24" t="s">
        <v>9</v>
      </c>
      <c r="K2" s="24" t="s">
        <v>10</v>
      </c>
      <c r="L2" s="24" t="s">
        <v>11</v>
      </c>
      <c r="M2" s="24" t="s">
        <v>12</v>
      </c>
      <c r="N2" s="24" t="s">
        <v>13</v>
      </c>
      <c r="O2" s="24" t="s">
        <v>14</v>
      </c>
      <c r="P2" s="24" t="s">
        <v>15</v>
      </c>
      <c r="Q2" s="24" t="s">
        <v>16</v>
      </c>
      <c r="R2" s="24" t="s">
        <v>17</v>
      </c>
      <c r="S2" s="24" t="s">
        <v>18</v>
      </c>
      <c r="T2" s="24" t="s">
        <v>276</v>
      </c>
      <c r="U2" s="3"/>
      <c r="V2" s="3"/>
      <c r="W2" s="3"/>
      <c r="X2" s="3"/>
      <c r="Y2" s="20"/>
      <c r="Z2" s="3"/>
      <c r="AA2" s="3"/>
      <c r="AB2" s="3"/>
      <c r="AC2" s="3"/>
    </row>
    <row r="3" spans="1:29" ht="15.75" customHeight="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74</v>
      </c>
      <c r="H3">
        <v>276</v>
      </c>
      <c r="I3">
        <v>7</v>
      </c>
      <c r="J3" s="26">
        <v>45995</v>
      </c>
      <c r="K3" s="26">
        <v>46097</v>
      </c>
      <c r="L3" s="26">
        <v>46106</v>
      </c>
      <c r="M3" s="26">
        <v>46129</v>
      </c>
      <c r="N3" s="26">
        <v>46168</v>
      </c>
      <c r="O3">
        <v>276</v>
      </c>
      <c r="P3" t="s">
        <v>25</v>
      </c>
      <c r="Q3" t="s">
        <v>26</v>
      </c>
      <c r="R3" t="s">
        <v>25</v>
      </c>
      <c r="S3" t="s">
        <v>25</v>
      </c>
      <c r="T3" t="s">
        <v>269</v>
      </c>
      <c r="Y3" s="21"/>
    </row>
    <row r="4" spans="1:29" ht="15.75" customHeight="1">
      <c r="A4" t="s">
        <v>19</v>
      </c>
      <c r="B4" t="s">
        <v>27</v>
      </c>
      <c r="C4" t="s">
        <v>21</v>
      </c>
      <c r="D4" t="s">
        <v>22</v>
      </c>
      <c r="E4" t="s">
        <v>28</v>
      </c>
      <c r="F4" t="s">
        <v>24</v>
      </c>
      <c r="G4">
        <v>74</v>
      </c>
      <c r="H4">
        <v>192</v>
      </c>
      <c r="I4">
        <v>7</v>
      </c>
      <c r="J4" s="26">
        <v>45969</v>
      </c>
      <c r="K4" s="26">
        <v>46010</v>
      </c>
      <c r="L4" s="26">
        <v>46041</v>
      </c>
      <c r="M4" s="26">
        <v>45993</v>
      </c>
      <c r="N4" s="26">
        <v>46015</v>
      </c>
      <c r="O4">
        <v>192</v>
      </c>
      <c r="P4" t="s">
        <v>25</v>
      </c>
      <c r="Q4" t="s">
        <v>26</v>
      </c>
      <c r="R4" t="s">
        <v>25</v>
      </c>
      <c r="S4" t="s">
        <v>25</v>
      </c>
      <c r="T4" t="s">
        <v>269</v>
      </c>
      <c r="Y4" s="21"/>
    </row>
    <row r="5" spans="1:29" ht="15.75" customHeight="1">
      <c r="A5" t="s">
        <v>19</v>
      </c>
      <c r="B5" t="s">
        <v>29</v>
      </c>
      <c r="C5" t="s">
        <v>21</v>
      </c>
      <c r="D5" t="s">
        <v>22</v>
      </c>
      <c r="E5" t="s">
        <v>30</v>
      </c>
      <c r="F5" t="s">
        <v>31</v>
      </c>
      <c r="G5">
        <v>74</v>
      </c>
      <c r="I5">
        <v>6</v>
      </c>
      <c r="J5" s="26">
        <v>45979</v>
      </c>
      <c r="K5" s="26">
        <v>46010</v>
      </c>
      <c r="L5" s="26">
        <v>46041</v>
      </c>
      <c r="M5" s="26">
        <v>45993</v>
      </c>
      <c r="O5">
        <v>194</v>
      </c>
      <c r="S5" t="s">
        <v>25</v>
      </c>
      <c r="Y5" s="21"/>
    </row>
    <row r="6" spans="1:29" ht="15.75" customHeight="1">
      <c r="A6" t="s">
        <v>19</v>
      </c>
      <c r="B6" t="s">
        <v>32</v>
      </c>
      <c r="C6" t="s">
        <v>21</v>
      </c>
      <c r="D6" t="s">
        <v>22</v>
      </c>
      <c r="E6" t="s">
        <v>23</v>
      </c>
      <c r="F6" t="s">
        <v>33</v>
      </c>
      <c r="G6">
        <v>74</v>
      </c>
      <c r="H6">
        <v>0</v>
      </c>
      <c r="I6">
        <v>6</v>
      </c>
      <c r="J6" s="26">
        <v>46181</v>
      </c>
      <c r="K6" s="26">
        <v>46181</v>
      </c>
      <c r="L6" s="26">
        <v>46182</v>
      </c>
      <c r="O6">
        <v>240</v>
      </c>
      <c r="S6" t="s">
        <v>25</v>
      </c>
      <c r="Y6" s="21"/>
    </row>
    <row r="7" spans="1:29" ht="15.75" customHeight="1">
      <c r="A7" t="s">
        <v>19</v>
      </c>
      <c r="B7" t="s">
        <v>34</v>
      </c>
      <c r="C7" t="s">
        <v>21</v>
      </c>
      <c r="D7" t="s">
        <v>22</v>
      </c>
      <c r="E7" t="s">
        <v>28</v>
      </c>
      <c r="F7" t="s">
        <v>33</v>
      </c>
      <c r="G7">
        <v>74</v>
      </c>
      <c r="H7">
        <v>0</v>
      </c>
      <c r="I7">
        <v>6</v>
      </c>
      <c r="J7" s="26">
        <v>46188</v>
      </c>
      <c r="K7" s="26">
        <v>46178</v>
      </c>
      <c r="L7" s="26">
        <v>46182</v>
      </c>
      <c r="O7">
        <v>192</v>
      </c>
      <c r="S7" t="s">
        <v>25</v>
      </c>
      <c r="Y7" s="21"/>
    </row>
    <row r="8" spans="1:29" ht="15.75" customHeight="1">
      <c r="A8" t="s">
        <v>19</v>
      </c>
      <c r="B8" t="s">
        <v>35</v>
      </c>
      <c r="C8" t="s">
        <v>21</v>
      </c>
      <c r="D8" t="s">
        <v>22</v>
      </c>
      <c r="E8" t="s">
        <v>30</v>
      </c>
      <c r="F8" t="s">
        <v>33</v>
      </c>
      <c r="G8">
        <v>74</v>
      </c>
      <c r="H8">
        <v>0</v>
      </c>
      <c r="I8">
        <v>4</v>
      </c>
      <c r="J8" s="26">
        <v>46097</v>
      </c>
      <c r="K8" s="26">
        <v>46097</v>
      </c>
      <c r="L8" s="26">
        <v>46191</v>
      </c>
      <c r="O8">
        <v>30</v>
      </c>
      <c r="S8" t="s">
        <v>25</v>
      </c>
      <c r="Y8" s="21"/>
    </row>
    <row r="9" spans="1:29" ht="15.75" customHeight="1">
      <c r="A9" t="s">
        <v>36</v>
      </c>
      <c r="B9" t="s">
        <v>37</v>
      </c>
      <c r="C9" t="s">
        <v>38</v>
      </c>
      <c r="D9" t="s">
        <v>39</v>
      </c>
      <c r="E9" t="s">
        <v>23</v>
      </c>
      <c r="F9" t="s">
        <v>31</v>
      </c>
      <c r="G9">
        <v>80</v>
      </c>
      <c r="I9">
        <v>5</v>
      </c>
      <c r="J9" s="26">
        <v>46032</v>
      </c>
      <c r="K9" s="26">
        <v>46054</v>
      </c>
      <c r="L9" s="26">
        <v>46082</v>
      </c>
      <c r="M9" s="26">
        <v>46055</v>
      </c>
      <c r="O9">
        <v>180</v>
      </c>
      <c r="S9" t="s">
        <v>25</v>
      </c>
      <c r="Y9" s="21"/>
    </row>
    <row r="10" spans="1:29" ht="15.75" customHeight="1">
      <c r="A10" t="s">
        <v>36</v>
      </c>
      <c r="B10" t="s">
        <v>40</v>
      </c>
      <c r="C10" t="s">
        <v>38</v>
      </c>
      <c r="D10" t="s">
        <v>41</v>
      </c>
      <c r="E10" t="s">
        <v>30</v>
      </c>
      <c r="F10" t="s">
        <v>33</v>
      </c>
      <c r="G10">
        <v>80</v>
      </c>
      <c r="H10">
        <v>0</v>
      </c>
      <c r="I10">
        <v>11</v>
      </c>
      <c r="J10" s="26">
        <v>46068</v>
      </c>
      <c r="K10" s="26">
        <v>46183</v>
      </c>
      <c r="L10" s="26">
        <v>46213</v>
      </c>
      <c r="O10">
        <v>210</v>
      </c>
      <c r="S10" t="s">
        <v>25</v>
      </c>
    </row>
    <row r="11" spans="1:29" ht="15.75" customHeight="1">
      <c r="A11" t="s">
        <v>36</v>
      </c>
      <c r="B11" t="s">
        <v>42</v>
      </c>
      <c r="C11" t="s">
        <v>38</v>
      </c>
      <c r="D11" t="s">
        <v>43</v>
      </c>
      <c r="E11" t="s">
        <v>23</v>
      </c>
      <c r="F11" t="s">
        <v>33</v>
      </c>
      <c r="G11">
        <v>80</v>
      </c>
      <c r="H11">
        <v>0</v>
      </c>
      <c r="I11">
        <v>4</v>
      </c>
      <c r="J11" s="27">
        <v>46082</v>
      </c>
      <c r="K11" s="26">
        <v>46188</v>
      </c>
      <c r="L11" s="26">
        <v>46203</v>
      </c>
      <c r="O11">
        <v>120</v>
      </c>
      <c r="S11" t="s">
        <v>25</v>
      </c>
    </row>
    <row r="12" spans="1:29" ht="15.75" customHeight="1">
      <c r="A12" t="s">
        <v>44</v>
      </c>
      <c r="B12" t="s">
        <v>45</v>
      </c>
      <c r="C12" t="s">
        <v>46</v>
      </c>
      <c r="D12" t="s">
        <v>47</v>
      </c>
      <c r="E12" t="s">
        <v>23</v>
      </c>
      <c r="F12" t="s">
        <v>24</v>
      </c>
      <c r="G12">
        <v>65</v>
      </c>
      <c r="H12">
        <v>80</v>
      </c>
      <c r="I12">
        <v>4</v>
      </c>
      <c r="J12" s="26">
        <v>45935</v>
      </c>
      <c r="K12" s="26">
        <v>45962</v>
      </c>
      <c r="L12" s="26">
        <v>45976</v>
      </c>
      <c r="M12" s="26">
        <v>45962</v>
      </c>
      <c r="N12" s="26">
        <v>45975</v>
      </c>
      <c r="O12">
        <v>80</v>
      </c>
      <c r="P12" t="s">
        <v>48</v>
      </c>
      <c r="Q12" t="s">
        <v>26</v>
      </c>
      <c r="R12" t="s">
        <v>48</v>
      </c>
      <c r="S12" t="s">
        <v>48</v>
      </c>
      <c r="T12" t="s">
        <v>269</v>
      </c>
    </row>
    <row r="13" spans="1:29" ht="15.75" customHeight="1">
      <c r="A13" t="s">
        <v>44</v>
      </c>
      <c r="B13" t="s">
        <v>49</v>
      </c>
      <c r="C13" t="s">
        <v>46</v>
      </c>
      <c r="D13" t="s">
        <v>50</v>
      </c>
      <c r="E13" t="s">
        <v>28</v>
      </c>
      <c r="F13" t="s">
        <v>33</v>
      </c>
      <c r="G13">
        <v>70</v>
      </c>
      <c r="H13">
        <v>0</v>
      </c>
      <c r="I13">
        <v>6</v>
      </c>
      <c r="J13" s="26">
        <v>46101</v>
      </c>
      <c r="K13" s="26">
        <v>46174</v>
      </c>
      <c r="L13" s="26">
        <v>46188</v>
      </c>
      <c r="O13">
        <v>120</v>
      </c>
      <c r="S13" t="s">
        <v>25</v>
      </c>
    </row>
    <row r="14" spans="1:29" ht="15.75" customHeight="1">
      <c r="A14" t="s">
        <v>44</v>
      </c>
      <c r="B14" t="s">
        <v>51</v>
      </c>
      <c r="C14" t="s">
        <v>46</v>
      </c>
      <c r="D14" t="s">
        <v>52</v>
      </c>
      <c r="E14" t="s">
        <v>23</v>
      </c>
      <c r="F14" t="s">
        <v>33</v>
      </c>
      <c r="G14">
        <v>65</v>
      </c>
      <c r="H14">
        <v>0</v>
      </c>
      <c r="I14">
        <v>6</v>
      </c>
      <c r="J14" s="26">
        <v>46113</v>
      </c>
      <c r="K14" s="26">
        <v>46188</v>
      </c>
      <c r="L14" s="26">
        <v>46203</v>
      </c>
      <c r="O14">
        <v>90</v>
      </c>
      <c r="S14" t="s">
        <v>25</v>
      </c>
    </row>
    <row r="15" spans="1:29" ht="15.75" customHeight="1">
      <c r="A15" t="s">
        <v>53</v>
      </c>
      <c r="B15" t="s">
        <v>54</v>
      </c>
      <c r="C15" t="s">
        <v>55</v>
      </c>
      <c r="D15" t="s">
        <v>56</v>
      </c>
      <c r="E15" t="s">
        <v>23</v>
      </c>
      <c r="F15" t="s">
        <v>24</v>
      </c>
      <c r="G15">
        <v>85</v>
      </c>
      <c r="H15">
        <v>64</v>
      </c>
      <c r="I15">
        <v>4</v>
      </c>
      <c r="J15" s="26">
        <v>46032</v>
      </c>
      <c r="K15" s="26">
        <v>46054</v>
      </c>
      <c r="L15" s="26">
        <v>46063</v>
      </c>
      <c r="M15" s="26">
        <v>46054</v>
      </c>
      <c r="N15" s="26">
        <v>46062</v>
      </c>
      <c r="O15">
        <v>64</v>
      </c>
      <c r="P15" t="s">
        <v>48</v>
      </c>
      <c r="Q15" t="s">
        <v>26</v>
      </c>
      <c r="R15" t="s">
        <v>277</v>
      </c>
      <c r="S15" t="s">
        <v>48</v>
      </c>
      <c r="T15" t="s">
        <v>269</v>
      </c>
    </row>
    <row r="16" spans="1:29" ht="15.75" customHeight="1">
      <c r="A16" t="s">
        <v>53</v>
      </c>
      <c r="B16" t="s">
        <v>57</v>
      </c>
      <c r="C16" t="s">
        <v>55</v>
      </c>
      <c r="D16" t="s">
        <v>58</v>
      </c>
      <c r="E16" t="s">
        <v>28</v>
      </c>
      <c r="F16" t="s">
        <v>31</v>
      </c>
      <c r="G16">
        <v>85</v>
      </c>
      <c r="I16">
        <v>9</v>
      </c>
      <c r="J16" s="26">
        <v>46064</v>
      </c>
      <c r="K16" s="26">
        <v>46188</v>
      </c>
      <c r="L16" s="26">
        <v>46218</v>
      </c>
      <c r="M16" s="26">
        <v>46069</v>
      </c>
      <c r="O16">
        <v>186</v>
      </c>
      <c r="S16" t="s">
        <v>25</v>
      </c>
    </row>
    <row r="17" spans="1:20" ht="15.75" customHeight="1">
      <c r="A17" t="s">
        <v>53</v>
      </c>
      <c r="B17" t="s">
        <v>59</v>
      </c>
      <c r="C17" t="s">
        <v>55</v>
      </c>
      <c r="D17" t="s">
        <v>60</v>
      </c>
      <c r="E17" t="s">
        <v>28</v>
      </c>
      <c r="F17" t="s">
        <v>33</v>
      </c>
      <c r="G17">
        <v>85</v>
      </c>
      <c r="H17">
        <v>0</v>
      </c>
      <c r="I17">
        <v>6</v>
      </c>
      <c r="J17" s="26">
        <v>46082</v>
      </c>
      <c r="K17" s="26">
        <v>46219</v>
      </c>
      <c r="L17" s="26">
        <v>46233</v>
      </c>
      <c r="O17">
        <v>114</v>
      </c>
      <c r="S17" t="s">
        <v>25</v>
      </c>
    </row>
    <row r="18" spans="1:20" ht="15.75" customHeight="1">
      <c r="A18" t="s">
        <v>61</v>
      </c>
      <c r="B18" t="s">
        <v>62</v>
      </c>
      <c r="C18" t="s">
        <v>63</v>
      </c>
      <c r="D18" t="s">
        <v>64</v>
      </c>
      <c r="E18" t="s">
        <v>30</v>
      </c>
      <c r="F18" t="s">
        <v>24</v>
      </c>
      <c r="G18">
        <v>90</v>
      </c>
      <c r="H18">
        <v>96</v>
      </c>
      <c r="I18">
        <v>6</v>
      </c>
      <c r="J18" s="26">
        <v>45962</v>
      </c>
      <c r="K18" s="26">
        <v>45971</v>
      </c>
      <c r="L18" s="26">
        <v>45992</v>
      </c>
      <c r="M18" s="26">
        <v>45971</v>
      </c>
      <c r="N18" s="26">
        <v>45989</v>
      </c>
      <c r="O18">
        <v>96</v>
      </c>
      <c r="P18" t="s">
        <v>48</v>
      </c>
      <c r="Q18" t="s">
        <v>26</v>
      </c>
      <c r="R18" t="s">
        <v>48</v>
      </c>
      <c r="S18" t="s">
        <v>48</v>
      </c>
      <c r="T18" t="s">
        <v>269</v>
      </c>
    </row>
    <row r="19" spans="1:20" ht="15.75" customHeight="1">
      <c r="A19" t="s">
        <v>61</v>
      </c>
      <c r="B19" t="s">
        <v>65</v>
      </c>
      <c r="C19" t="s">
        <v>63</v>
      </c>
      <c r="D19" t="s">
        <v>66</v>
      </c>
      <c r="E19" t="s">
        <v>30</v>
      </c>
      <c r="F19" t="s">
        <v>31</v>
      </c>
      <c r="G19">
        <v>90</v>
      </c>
      <c r="I19">
        <v>8</v>
      </c>
      <c r="J19" s="26">
        <v>45992</v>
      </c>
      <c r="K19" s="26">
        <v>46001</v>
      </c>
      <c r="L19" s="26">
        <v>46047</v>
      </c>
      <c r="M19" s="26">
        <v>46006</v>
      </c>
      <c r="O19">
        <v>324</v>
      </c>
      <c r="S19" t="s">
        <v>25</v>
      </c>
    </row>
    <row r="20" spans="1:20" s="22" customFormat="1" ht="15.75" customHeight="1">
      <c r="A20" t="s">
        <v>61</v>
      </c>
      <c r="B20" t="s">
        <v>67</v>
      </c>
      <c r="C20" t="s">
        <v>63</v>
      </c>
      <c r="D20" t="s">
        <v>68</v>
      </c>
      <c r="E20" t="s">
        <v>30</v>
      </c>
      <c r="F20" t="s">
        <v>33</v>
      </c>
      <c r="G20">
        <v>90</v>
      </c>
      <c r="H20">
        <v>0</v>
      </c>
      <c r="I20">
        <v>6</v>
      </c>
      <c r="J20" s="26">
        <v>46037</v>
      </c>
      <c r="K20" s="26">
        <v>46188</v>
      </c>
      <c r="L20" s="26">
        <v>46204</v>
      </c>
      <c r="M20"/>
      <c r="N20"/>
      <c r="O20">
        <v>80</v>
      </c>
      <c r="P20"/>
      <c r="Q20"/>
      <c r="R20"/>
      <c r="S20" t="s">
        <v>25</v>
      </c>
      <c r="T20"/>
    </row>
    <row r="21" spans="1:20" ht="15.75" customHeight="1">
      <c r="A21" t="s">
        <v>69</v>
      </c>
      <c r="B21" t="s">
        <v>70</v>
      </c>
      <c r="C21" t="s">
        <v>71</v>
      </c>
      <c r="D21" t="s">
        <v>72</v>
      </c>
      <c r="E21" t="s">
        <v>23</v>
      </c>
      <c r="F21" t="s">
        <v>24</v>
      </c>
      <c r="G21">
        <v>95</v>
      </c>
      <c r="H21">
        <v>150</v>
      </c>
      <c r="I21">
        <v>6</v>
      </c>
      <c r="J21" s="26">
        <v>46006</v>
      </c>
      <c r="K21" s="26">
        <v>46032</v>
      </c>
      <c r="L21" s="26">
        <v>46047</v>
      </c>
      <c r="M21" s="26">
        <v>46033</v>
      </c>
      <c r="N21" s="26">
        <v>46048</v>
      </c>
      <c r="O21">
        <v>150</v>
      </c>
      <c r="P21" t="s">
        <v>25</v>
      </c>
      <c r="Q21" t="s">
        <v>26</v>
      </c>
      <c r="R21" t="s">
        <v>25</v>
      </c>
      <c r="S21" t="s">
        <v>25</v>
      </c>
      <c r="T21" t="s">
        <v>269</v>
      </c>
    </row>
    <row r="22" spans="1:20" ht="15.75" customHeight="1">
      <c r="A22" t="s">
        <v>69</v>
      </c>
      <c r="B22" t="s">
        <v>73</v>
      </c>
      <c r="C22" t="s">
        <v>71</v>
      </c>
      <c r="D22" t="s">
        <v>74</v>
      </c>
      <c r="E22" t="s">
        <v>23</v>
      </c>
      <c r="F22" t="s">
        <v>33</v>
      </c>
      <c r="G22">
        <v>95</v>
      </c>
      <c r="H22">
        <v>0</v>
      </c>
      <c r="I22">
        <v>9</v>
      </c>
      <c r="J22" s="26">
        <v>46042</v>
      </c>
      <c r="K22" s="26">
        <v>46188</v>
      </c>
      <c r="L22" s="26">
        <v>46218</v>
      </c>
      <c r="O22">
        <v>216</v>
      </c>
      <c r="S22" t="s">
        <v>25</v>
      </c>
    </row>
    <row r="23" spans="1:20" ht="15.75" customHeight="1">
      <c r="A23" t="s">
        <v>69</v>
      </c>
      <c r="B23" t="s">
        <v>75</v>
      </c>
      <c r="C23" t="s">
        <v>71</v>
      </c>
      <c r="D23" t="s">
        <v>76</v>
      </c>
      <c r="E23" t="s">
        <v>23</v>
      </c>
      <c r="F23" t="s">
        <v>33</v>
      </c>
      <c r="G23">
        <v>95</v>
      </c>
      <c r="H23">
        <v>0</v>
      </c>
      <c r="I23">
        <v>4</v>
      </c>
      <c r="J23" s="26">
        <v>46082</v>
      </c>
      <c r="K23" s="26">
        <v>46219</v>
      </c>
      <c r="L23" s="26">
        <v>46233</v>
      </c>
      <c r="O23">
        <v>100</v>
      </c>
      <c r="S23" t="s">
        <v>25</v>
      </c>
    </row>
    <row r="24" spans="1:20" ht="15.75" customHeight="1">
      <c r="A24" t="s">
        <v>77</v>
      </c>
      <c r="B24" t="s">
        <v>78</v>
      </c>
      <c r="C24" t="s">
        <v>79</v>
      </c>
      <c r="D24" t="s">
        <v>80</v>
      </c>
      <c r="E24" t="s">
        <v>81</v>
      </c>
      <c r="F24" t="s">
        <v>31</v>
      </c>
      <c r="G24">
        <v>88</v>
      </c>
      <c r="I24">
        <v>6</v>
      </c>
      <c r="J24" s="26">
        <v>46063</v>
      </c>
      <c r="K24" s="26">
        <v>46082</v>
      </c>
      <c r="L24" s="26">
        <v>46113</v>
      </c>
      <c r="M24" s="26">
        <v>46083</v>
      </c>
      <c r="O24">
        <v>160</v>
      </c>
      <c r="S24" t="s">
        <v>25</v>
      </c>
    </row>
    <row r="25" spans="1:20" ht="15.75" customHeight="1">
      <c r="A25" t="s">
        <v>77</v>
      </c>
      <c r="B25" t="s">
        <v>82</v>
      </c>
      <c r="C25" t="s">
        <v>79</v>
      </c>
      <c r="D25" t="s">
        <v>83</v>
      </c>
      <c r="E25" t="s">
        <v>81</v>
      </c>
      <c r="F25" t="s">
        <v>33</v>
      </c>
      <c r="G25">
        <v>92</v>
      </c>
      <c r="H25">
        <v>0</v>
      </c>
      <c r="I25">
        <v>13</v>
      </c>
      <c r="J25" s="26">
        <v>46082</v>
      </c>
      <c r="K25" s="26">
        <v>46188</v>
      </c>
      <c r="L25" s="26">
        <v>46218</v>
      </c>
      <c r="O25">
        <v>275</v>
      </c>
      <c r="S25" t="s">
        <v>25</v>
      </c>
    </row>
    <row r="26" spans="1:20" ht="15.75" customHeight="1">
      <c r="A26" t="s">
        <v>77</v>
      </c>
      <c r="B26" t="s">
        <v>84</v>
      </c>
      <c r="C26" t="s">
        <v>79</v>
      </c>
      <c r="D26" t="s">
        <v>85</v>
      </c>
      <c r="E26" t="s">
        <v>81</v>
      </c>
      <c r="F26" t="s">
        <v>33</v>
      </c>
      <c r="G26">
        <v>88</v>
      </c>
      <c r="H26">
        <v>0</v>
      </c>
      <c r="I26">
        <v>6</v>
      </c>
      <c r="J26" s="26">
        <v>46096</v>
      </c>
      <c r="K26" s="26">
        <v>46188</v>
      </c>
      <c r="L26" s="26">
        <v>46203</v>
      </c>
      <c r="O26">
        <v>110</v>
      </c>
      <c r="S26" t="s">
        <v>25</v>
      </c>
    </row>
    <row r="27" spans="1:20" ht="15.75" customHeight="1">
      <c r="A27" t="s">
        <v>86</v>
      </c>
      <c r="B27" t="s">
        <v>87</v>
      </c>
      <c r="C27" t="s">
        <v>88</v>
      </c>
      <c r="D27" t="s">
        <v>89</v>
      </c>
      <c r="E27" t="s">
        <v>90</v>
      </c>
      <c r="F27" t="s">
        <v>24</v>
      </c>
      <c r="G27">
        <v>71</v>
      </c>
      <c r="H27">
        <v>110</v>
      </c>
      <c r="I27">
        <v>5</v>
      </c>
      <c r="J27" s="26">
        <v>45942</v>
      </c>
      <c r="K27" s="26">
        <v>45962</v>
      </c>
      <c r="L27" s="26">
        <v>45981</v>
      </c>
      <c r="M27" s="26">
        <v>45963</v>
      </c>
      <c r="N27" s="26">
        <v>45980</v>
      </c>
      <c r="O27">
        <v>110</v>
      </c>
      <c r="P27" t="s">
        <v>91</v>
      </c>
      <c r="Q27" t="s">
        <v>26</v>
      </c>
      <c r="R27" t="s">
        <v>91</v>
      </c>
      <c r="S27" t="s">
        <v>91</v>
      </c>
      <c r="T27" t="s">
        <v>269</v>
      </c>
    </row>
    <row r="28" spans="1:20" ht="15.75" customHeight="1">
      <c r="A28" t="s">
        <v>86</v>
      </c>
      <c r="B28" t="s">
        <v>92</v>
      </c>
      <c r="C28" t="s">
        <v>88</v>
      </c>
      <c r="D28" t="s">
        <v>93</v>
      </c>
      <c r="E28" t="s">
        <v>90</v>
      </c>
      <c r="F28" t="s">
        <v>33</v>
      </c>
      <c r="G28">
        <v>71</v>
      </c>
      <c r="H28">
        <v>0</v>
      </c>
      <c r="I28">
        <v>6</v>
      </c>
      <c r="J28" s="26">
        <v>46068</v>
      </c>
      <c r="K28" s="26">
        <v>46188</v>
      </c>
      <c r="L28" s="26">
        <v>46203</v>
      </c>
      <c r="O28">
        <v>130</v>
      </c>
      <c r="S28" t="s">
        <v>25</v>
      </c>
    </row>
    <row r="29" spans="1:20" ht="15.75" customHeight="1">
      <c r="A29" t="s">
        <v>86</v>
      </c>
      <c r="B29" t="s">
        <v>94</v>
      </c>
      <c r="C29" t="s">
        <v>88</v>
      </c>
      <c r="D29" t="s">
        <v>95</v>
      </c>
      <c r="E29" t="s">
        <v>90</v>
      </c>
      <c r="F29" t="s">
        <v>33</v>
      </c>
      <c r="G29">
        <v>65</v>
      </c>
      <c r="H29">
        <v>0</v>
      </c>
      <c r="I29">
        <v>3</v>
      </c>
      <c r="J29" s="26">
        <v>46082</v>
      </c>
      <c r="K29" s="26">
        <v>46204</v>
      </c>
      <c r="L29" s="26">
        <v>46218</v>
      </c>
      <c r="O29">
        <v>70</v>
      </c>
      <c r="S29" t="s">
        <v>278</v>
      </c>
    </row>
    <row r="30" spans="1:20" ht="15.75" customHeight="1">
      <c r="A30" t="s">
        <v>96</v>
      </c>
      <c r="B30" t="s">
        <v>97</v>
      </c>
      <c r="C30" t="s">
        <v>98</v>
      </c>
      <c r="D30" t="s">
        <v>99</v>
      </c>
      <c r="E30" t="s">
        <v>90</v>
      </c>
      <c r="F30" t="s">
        <v>33</v>
      </c>
      <c r="G30">
        <v>78</v>
      </c>
      <c r="H30">
        <v>0</v>
      </c>
      <c r="I30">
        <v>13</v>
      </c>
      <c r="J30" s="26">
        <v>46073</v>
      </c>
      <c r="K30" s="26">
        <v>46188</v>
      </c>
      <c r="L30" s="26">
        <v>46235</v>
      </c>
      <c r="O30">
        <v>340</v>
      </c>
      <c r="S30" t="s">
        <v>25</v>
      </c>
    </row>
    <row r="31" spans="1:20" ht="15.75" customHeight="1">
      <c r="A31" t="s">
        <v>96</v>
      </c>
      <c r="B31" t="s">
        <v>100</v>
      </c>
      <c r="C31" t="s">
        <v>98</v>
      </c>
      <c r="D31" t="s">
        <v>101</v>
      </c>
      <c r="E31" t="s">
        <v>90</v>
      </c>
      <c r="F31" t="s">
        <v>33</v>
      </c>
      <c r="G31">
        <v>78</v>
      </c>
      <c r="H31">
        <v>0</v>
      </c>
      <c r="I31">
        <v>6</v>
      </c>
      <c r="J31" s="26">
        <v>46082</v>
      </c>
      <c r="K31" s="26">
        <v>46188</v>
      </c>
      <c r="L31" s="26">
        <v>46218</v>
      </c>
      <c r="O31">
        <v>180</v>
      </c>
      <c r="S31" t="s">
        <v>25</v>
      </c>
    </row>
    <row r="32" spans="1:20" ht="15.75" customHeight="1">
      <c r="A32" t="s">
        <v>96</v>
      </c>
      <c r="B32" t="s">
        <v>102</v>
      </c>
      <c r="C32" t="s">
        <v>98</v>
      </c>
      <c r="D32" t="s">
        <v>103</v>
      </c>
      <c r="E32" t="s">
        <v>90</v>
      </c>
      <c r="F32" t="s">
        <v>33</v>
      </c>
      <c r="G32">
        <v>72</v>
      </c>
      <c r="H32">
        <v>0</v>
      </c>
      <c r="I32">
        <v>6</v>
      </c>
      <c r="J32" s="26">
        <v>46096</v>
      </c>
      <c r="K32" s="26">
        <v>46219</v>
      </c>
      <c r="L32" s="26">
        <v>46235</v>
      </c>
      <c r="O32">
        <v>120</v>
      </c>
      <c r="S32" t="s">
        <v>25</v>
      </c>
    </row>
    <row r="33" spans="1:20" ht="15.75" customHeight="1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31</v>
      </c>
      <c r="G33">
        <v>83</v>
      </c>
      <c r="I33">
        <v>6</v>
      </c>
      <c r="J33" s="26">
        <v>46037</v>
      </c>
      <c r="K33" s="26">
        <v>46068</v>
      </c>
      <c r="L33" s="26">
        <v>46127</v>
      </c>
      <c r="M33" s="26">
        <v>46070</v>
      </c>
      <c r="O33">
        <v>220</v>
      </c>
      <c r="S33" t="s">
        <v>25</v>
      </c>
    </row>
    <row r="34" spans="1:20" ht="15.75" customHeight="1">
      <c r="A34" t="s">
        <v>104</v>
      </c>
      <c r="B34" t="s">
        <v>109</v>
      </c>
      <c r="C34" t="s">
        <v>106</v>
      </c>
      <c r="D34" t="s">
        <v>110</v>
      </c>
      <c r="E34" t="s">
        <v>108</v>
      </c>
      <c r="F34" t="s">
        <v>33</v>
      </c>
      <c r="G34">
        <v>83</v>
      </c>
      <c r="H34">
        <v>0</v>
      </c>
      <c r="I34">
        <v>6</v>
      </c>
      <c r="J34" s="26">
        <v>46073</v>
      </c>
      <c r="K34" s="26">
        <v>46188</v>
      </c>
      <c r="L34" s="26">
        <v>46203</v>
      </c>
      <c r="O34">
        <v>150</v>
      </c>
      <c r="S34" t="s">
        <v>25</v>
      </c>
    </row>
    <row r="35" spans="1:20" ht="15.75" customHeight="1">
      <c r="A35" t="s">
        <v>104</v>
      </c>
      <c r="B35" t="s">
        <v>111</v>
      </c>
      <c r="C35" t="s">
        <v>106</v>
      </c>
      <c r="D35" t="s">
        <v>112</v>
      </c>
      <c r="E35" t="s">
        <v>108</v>
      </c>
      <c r="F35" t="s">
        <v>33</v>
      </c>
      <c r="G35">
        <v>75</v>
      </c>
      <c r="H35">
        <v>0</v>
      </c>
      <c r="I35">
        <v>4</v>
      </c>
      <c r="J35" s="26">
        <v>46082</v>
      </c>
      <c r="K35" s="26">
        <v>46204</v>
      </c>
      <c r="L35" s="26">
        <v>46218</v>
      </c>
      <c r="O35">
        <v>90</v>
      </c>
      <c r="S35" t="s">
        <v>25</v>
      </c>
    </row>
    <row r="36" spans="1:20" ht="15.75" customHeight="1">
      <c r="A36" t="s">
        <v>113</v>
      </c>
      <c r="B36" t="s">
        <v>114</v>
      </c>
      <c r="C36" t="s">
        <v>115</v>
      </c>
      <c r="D36" t="s">
        <v>116</v>
      </c>
      <c r="E36" t="s">
        <v>108</v>
      </c>
      <c r="F36" t="s">
        <v>33</v>
      </c>
      <c r="G36">
        <v>67</v>
      </c>
      <c r="H36">
        <v>0</v>
      </c>
      <c r="I36">
        <v>5</v>
      </c>
      <c r="J36" s="26">
        <v>46091</v>
      </c>
      <c r="K36" s="26">
        <v>46193</v>
      </c>
      <c r="L36" s="26">
        <v>46213</v>
      </c>
      <c r="O36">
        <v>130</v>
      </c>
      <c r="S36" t="s">
        <v>25</v>
      </c>
    </row>
    <row r="37" spans="1:20" ht="15.75" customHeight="1">
      <c r="A37" t="s">
        <v>113</v>
      </c>
      <c r="B37" t="s">
        <v>117</v>
      </c>
      <c r="C37" t="s">
        <v>115</v>
      </c>
      <c r="D37" t="s">
        <v>118</v>
      </c>
      <c r="E37" t="s">
        <v>108</v>
      </c>
      <c r="F37" t="s">
        <v>33</v>
      </c>
      <c r="G37">
        <v>67</v>
      </c>
      <c r="H37">
        <v>0</v>
      </c>
      <c r="I37">
        <v>5</v>
      </c>
      <c r="J37" s="26">
        <v>46096</v>
      </c>
      <c r="K37" s="26">
        <v>46204</v>
      </c>
      <c r="L37" s="26">
        <v>46223</v>
      </c>
      <c r="O37">
        <v>160</v>
      </c>
      <c r="S37" t="s">
        <v>25</v>
      </c>
    </row>
    <row r="38" spans="1:20" ht="15.75" customHeight="1">
      <c r="A38" t="s">
        <v>119</v>
      </c>
      <c r="B38" t="s">
        <v>120</v>
      </c>
      <c r="C38" t="s">
        <v>121</v>
      </c>
      <c r="D38" t="s">
        <v>122</v>
      </c>
      <c r="E38" t="s">
        <v>30</v>
      </c>
      <c r="F38" t="s">
        <v>24</v>
      </c>
      <c r="G38">
        <v>89</v>
      </c>
      <c r="H38">
        <v>90</v>
      </c>
      <c r="I38">
        <v>3</v>
      </c>
      <c r="J38" s="26">
        <v>45901</v>
      </c>
      <c r="K38" s="26">
        <v>45915</v>
      </c>
      <c r="L38" s="26">
        <v>45945</v>
      </c>
      <c r="M38" s="26">
        <v>45915</v>
      </c>
      <c r="N38" s="26">
        <v>45944</v>
      </c>
      <c r="O38">
        <v>90</v>
      </c>
      <c r="P38" t="s">
        <v>25</v>
      </c>
      <c r="Q38" t="s">
        <v>26</v>
      </c>
      <c r="R38" t="s">
        <v>25</v>
      </c>
      <c r="S38" t="s">
        <v>25</v>
      </c>
      <c r="T38" t="s">
        <v>269</v>
      </c>
    </row>
    <row r="39" spans="1:20" ht="15.75" customHeight="1">
      <c r="A39" t="s">
        <v>119</v>
      </c>
      <c r="B39" t="s">
        <v>123</v>
      </c>
      <c r="C39" t="s">
        <v>121</v>
      </c>
      <c r="D39" t="s">
        <v>124</v>
      </c>
      <c r="E39" t="s">
        <v>30</v>
      </c>
      <c r="F39" t="s">
        <v>33</v>
      </c>
      <c r="G39">
        <v>89</v>
      </c>
      <c r="H39">
        <v>0</v>
      </c>
      <c r="I39">
        <v>6</v>
      </c>
      <c r="J39" s="26">
        <v>46068</v>
      </c>
      <c r="K39" s="26">
        <v>46188</v>
      </c>
      <c r="L39" s="26">
        <v>46203</v>
      </c>
      <c r="O39">
        <v>140</v>
      </c>
      <c r="S39" t="s">
        <v>25</v>
      </c>
    </row>
    <row r="40" spans="1:20" ht="15.75" customHeight="1">
      <c r="A40" t="s">
        <v>119</v>
      </c>
      <c r="B40" t="s">
        <v>125</v>
      </c>
      <c r="C40" t="s">
        <v>121</v>
      </c>
      <c r="D40" t="s">
        <v>126</v>
      </c>
      <c r="E40" t="s">
        <v>30</v>
      </c>
      <c r="F40" t="s">
        <v>33</v>
      </c>
      <c r="G40">
        <v>80</v>
      </c>
      <c r="H40">
        <v>0</v>
      </c>
      <c r="I40">
        <v>4</v>
      </c>
      <c r="J40" s="26">
        <v>46082</v>
      </c>
      <c r="K40" s="26">
        <v>46204</v>
      </c>
      <c r="L40" s="26">
        <v>46218</v>
      </c>
      <c r="O40">
        <v>100</v>
      </c>
      <c r="S40" t="s">
        <v>25</v>
      </c>
    </row>
    <row r="41" spans="1:20" ht="15.75" customHeight="1">
      <c r="A41" t="s">
        <v>127</v>
      </c>
      <c r="B41" t="s">
        <v>128</v>
      </c>
      <c r="C41" t="s">
        <v>129</v>
      </c>
      <c r="D41" t="s">
        <v>130</v>
      </c>
      <c r="E41" t="s">
        <v>28</v>
      </c>
      <c r="F41" t="s">
        <v>33</v>
      </c>
      <c r="G41">
        <v>81</v>
      </c>
      <c r="H41">
        <v>0</v>
      </c>
      <c r="I41">
        <v>9</v>
      </c>
      <c r="J41" s="26">
        <v>46096</v>
      </c>
      <c r="K41" s="26">
        <v>46188</v>
      </c>
      <c r="L41" s="26">
        <v>46218</v>
      </c>
      <c r="O41">
        <v>180</v>
      </c>
      <c r="S41" t="s">
        <v>25</v>
      </c>
    </row>
    <row r="42" spans="1:20" ht="15.75" customHeight="1">
      <c r="A42" t="s">
        <v>127</v>
      </c>
      <c r="B42" t="s">
        <v>131</v>
      </c>
      <c r="C42" t="s">
        <v>129</v>
      </c>
      <c r="D42" t="s">
        <v>132</v>
      </c>
      <c r="E42" t="s">
        <v>28</v>
      </c>
      <c r="F42" t="s">
        <v>33</v>
      </c>
      <c r="G42">
        <v>81</v>
      </c>
      <c r="H42">
        <v>0</v>
      </c>
      <c r="I42">
        <v>7</v>
      </c>
      <c r="J42" s="26">
        <v>46101</v>
      </c>
      <c r="K42" s="26">
        <v>46204</v>
      </c>
      <c r="L42" s="26">
        <v>46223</v>
      </c>
      <c r="O42">
        <v>210</v>
      </c>
      <c r="S42" t="s">
        <v>25</v>
      </c>
    </row>
    <row r="43" spans="1:20" ht="15.75" customHeight="1">
      <c r="A43" t="s">
        <v>133</v>
      </c>
      <c r="B43" t="s">
        <v>134</v>
      </c>
      <c r="C43" t="s">
        <v>135</v>
      </c>
      <c r="D43" t="s">
        <v>136</v>
      </c>
      <c r="E43" t="s">
        <v>81</v>
      </c>
      <c r="F43" t="s">
        <v>33</v>
      </c>
      <c r="G43">
        <v>94</v>
      </c>
      <c r="H43">
        <v>0</v>
      </c>
      <c r="I43">
        <v>5</v>
      </c>
      <c r="J43" s="26">
        <v>46113</v>
      </c>
      <c r="K43" s="26">
        <v>46195</v>
      </c>
      <c r="L43" s="26">
        <v>46218</v>
      </c>
      <c r="O43">
        <v>140</v>
      </c>
      <c r="S43" t="s">
        <v>25</v>
      </c>
    </row>
    <row r="44" spans="1:20" ht="15.75" customHeight="1">
      <c r="A44" t="s">
        <v>133</v>
      </c>
      <c r="B44" t="s">
        <v>137</v>
      </c>
      <c r="C44" t="s">
        <v>135</v>
      </c>
      <c r="D44" t="s">
        <v>138</v>
      </c>
      <c r="E44" t="s">
        <v>81</v>
      </c>
      <c r="F44" t="s">
        <v>33</v>
      </c>
      <c r="G44">
        <v>94</v>
      </c>
      <c r="H44">
        <v>0</v>
      </c>
      <c r="I44">
        <v>5</v>
      </c>
      <c r="J44" s="26">
        <v>46122</v>
      </c>
      <c r="K44" s="26">
        <v>46204</v>
      </c>
      <c r="L44" s="26">
        <v>46223</v>
      </c>
      <c r="O44">
        <v>190</v>
      </c>
      <c r="S44" t="s">
        <v>25</v>
      </c>
    </row>
    <row r="45" spans="1:20" ht="15.75" customHeight="1">
      <c r="A45" t="s">
        <v>139</v>
      </c>
      <c r="B45" t="s">
        <v>140</v>
      </c>
      <c r="C45" t="s">
        <v>141</v>
      </c>
      <c r="D45" t="s">
        <v>142</v>
      </c>
      <c r="E45" t="s">
        <v>81</v>
      </c>
      <c r="F45" t="s">
        <v>33</v>
      </c>
      <c r="G45">
        <v>86</v>
      </c>
      <c r="H45">
        <v>0</v>
      </c>
      <c r="I45">
        <v>9</v>
      </c>
      <c r="J45" s="26">
        <v>46096</v>
      </c>
      <c r="K45" s="26">
        <v>46188</v>
      </c>
      <c r="L45" s="26">
        <v>46203</v>
      </c>
      <c r="O45">
        <v>120</v>
      </c>
      <c r="S45" t="s">
        <v>25</v>
      </c>
    </row>
    <row r="46" spans="1:20" ht="15.75" customHeight="1">
      <c r="A46" t="s">
        <v>139</v>
      </c>
      <c r="B46" t="s">
        <v>143</v>
      </c>
      <c r="C46" t="s">
        <v>141</v>
      </c>
      <c r="D46" t="s">
        <v>144</v>
      </c>
      <c r="E46" t="s">
        <v>81</v>
      </c>
      <c r="F46" t="s">
        <v>33</v>
      </c>
      <c r="G46">
        <v>86</v>
      </c>
      <c r="H46">
        <v>0</v>
      </c>
      <c r="I46">
        <v>9</v>
      </c>
      <c r="J46" s="26">
        <v>46101</v>
      </c>
      <c r="K46" s="26">
        <v>46204</v>
      </c>
      <c r="L46" s="26">
        <v>46228</v>
      </c>
      <c r="O46">
        <v>240</v>
      </c>
      <c r="S46" t="s">
        <v>25</v>
      </c>
    </row>
    <row r="47" spans="1:20" ht="15.75" customHeight="1">
      <c r="A47" t="s">
        <v>139</v>
      </c>
      <c r="B47" t="s">
        <v>145</v>
      </c>
      <c r="C47" t="s">
        <v>141</v>
      </c>
      <c r="D47" t="s">
        <v>146</v>
      </c>
      <c r="E47" t="s">
        <v>28</v>
      </c>
      <c r="F47" t="s">
        <v>33</v>
      </c>
      <c r="G47">
        <v>80</v>
      </c>
      <c r="H47">
        <v>0</v>
      </c>
      <c r="I47">
        <v>5</v>
      </c>
      <c r="J47" s="26">
        <v>46113</v>
      </c>
      <c r="K47" s="26">
        <v>46219</v>
      </c>
      <c r="L47" s="26">
        <v>46235</v>
      </c>
      <c r="O47">
        <v>160</v>
      </c>
      <c r="S47" t="s">
        <v>25</v>
      </c>
    </row>
    <row r="50" spans="1:46" ht="15.75" customHeight="1">
      <c r="A50" s="3" t="s">
        <v>273</v>
      </c>
      <c r="B50" s="5"/>
    </row>
    <row r="51" spans="1:46" s="13" customFormat="1" ht="15.75" customHeight="1">
      <c r="A51" s="12"/>
      <c r="B51" s="14"/>
      <c r="C51" s="28" t="s">
        <v>274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30"/>
    </row>
    <row r="52" spans="1:46" s="13" customFormat="1" ht="15.75" customHeight="1">
      <c r="A52" s="12" t="s">
        <v>2</v>
      </c>
      <c r="B52" s="12" t="s">
        <v>275</v>
      </c>
      <c r="C52" s="12" t="s">
        <v>149</v>
      </c>
      <c r="D52" s="12" t="s">
        <v>150</v>
      </c>
      <c r="E52" s="12" t="s">
        <v>151</v>
      </c>
      <c r="F52" s="12" t="s">
        <v>152</v>
      </c>
      <c r="G52" s="12" t="s">
        <v>153</v>
      </c>
      <c r="H52" s="12" t="s">
        <v>154</v>
      </c>
      <c r="I52" s="12" t="s">
        <v>155</v>
      </c>
      <c r="J52" s="12" t="s">
        <v>156</v>
      </c>
      <c r="K52" s="12" t="s">
        <v>157</v>
      </c>
      <c r="L52" s="12" t="s">
        <v>158</v>
      </c>
      <c r="M52" s="12" t="s">
        <v>159</v>
      </c>
      <c r="N52" s="12" t="s">
        <v>160</v>
      </c>
      <c r="O52" s="12" t="s">
        <v>161</v>
      </c>
      <c r="P52" s="12" t="s">
        <v>162</v>
      </c>
      <c r="Q52" s="12" t="s">
        <v>164</v>
      </c>
      <c r="R52" s="12" t="s">
        <v>165</v>
      </c>
      <c r="S52" s="12" t="s">
        <v>166</v>
      </c>
      <c r="T52" s="12" t="s">
        <v>167</v>
      </c>
      <c r="U52" s="12" t="s">
        <v>168</v>
      </c>
      <c r="V52" s="12" t="s">
        <v>169</v>
      </c>
      <c r="W52" s="12" t="s">
        <v>170</v>
      </c>
    </row>
    <row r="53" spans="1:46" ht="15.75" customHeight="1">
      <c r="A53" s="18" t="s">
        <v>105</v>
      </c>
      <c r="B53" s="11">
        <f>O33</f>
        <v>220</v>
      </c>
      <c r="C53" s="11">
        <v>80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100</v>
      </c>
      <c r="N53" s="11">
        <v>0</v>
      </c>
      <c r="O53" s="11">
        <v>0</v>
      </c>
      <c r="P53" s="11">
        <v>0</v>
      </c>
      <c r="Q53" s="11">
        <v>4</v>
      </c>
      <c r="R53" s="11">
        <v>1</v>
      </c>
      <c r="S53" s="11">
        <v>0</v>
      </c>
      <c r="T53" s="11">
        <v>0</v>
      </c>
      <c r="U53" s="11">
        <v>0</v>
      </c>
      <c r="V53" s="11">
        <v>11</v>
      </c>
      <c r="W53" s="11">
        <v>0</v>
      </c>
    </row>
    <row r="54" spans="1:46" ht="15.75" customHeight="1">
      <c r="A54" s="11" t="str">
        <f>B24</f>
        <v>SRV-4011</v>
      </c>
      <c r="B54" s="18">
        <f>O24</f>
        <v>160</v>
      </c>
      <c r="C54" s="5">
        <v>11</v>
      </c>
      <c r="D54" s="5">
        <v>0</v>
      </c>
      <c r="E54" s="5">
        <v>0</v>
      </c>
      <c r="F54" s="5">
        <v>0</v>
      </c>
      <c r="G54" s="5">
        <v>2</v>
      </c>
      <c r="H54" s="5">
        <v>2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5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10</v>
      </c>
    </row>
    <row r="55" spans="1:46" ht="15.75" customHeight="1">
      <c r="A55" s="11" t="str">
        <f>B19</f>
        <v>DB-202</v>
      </c>
      <c r="B55" s="11">
        <f>O19</f>
        <v>324</v>
      </c>
      <c r="C55" s="4">
        <v>0</v>
      </c>
      <c r="D55" s="4">
        <v>0</v>
      </c>
      <c r="E55" s="4">
        <v>0</v>
      </c>
      <c r="F55" s="4">
        <v>0</v>
      </c>
      <c r="G55" s="4">
        <v>11</v>
      </c>
      <c r="H55" s="4">
        <v>2</v>
      </c>
      <c r="I55" s="4">
        <v>0</v>
      </c>
      <c r="J55" s="4">
        <v>40</v>
      </c>
      <c r="K55" s="4">
        <v>0</v>
      </c>
      <c r="L55" s="4">
        <v>0</v>
      </c>
      <c r="M55" s="4">
        <v>0</v>
      </c>
      <c r="N55" s="4">
        <v>0</v>
      </c>
      <c r="O55" s="4">
        <v>24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</row>
    <row r="56" spans="1:46" ht="15.75" customHeight="1">
      <c r="A56" s="11" t="str">
        <f>B16</f>
        <v>MP-102</v>
      </c>
      <c r="B56" s="11">
        <f>O16</f>
        <v>186</v>
      </c>
      <c r="C56" s="4">
        <v>18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80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4</v>
      </c>
      <c r="W56" s="4">
        <v>0</v>
      </c>
    </row>
    <row r="57" spans="1:46" ht="15.75" customHeight="1">
      <c r="A57" s="11" t="str">
        <f>B9</f>
        <v>MOB-7011</v>
      </c>
      <c r="B57" s="11">
        <f>O9</f>
        <v>180</v>
      </c>
      <c r="C57" s="4">
        <v>30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35</v>
      </c>
      <c r="J57" s="4">
        <v>0</v>
      </c>
      <c r="K57" s="4">
        <v>0</v>
      </c>
      <c r="L57" s="4">
        <v>30</v>
      </c>
      <c r="M57" s="4">
        <v>0</v>
      </c>
      <c r="N57" s="4">
        <v>30</v>
      </c>
      <c r="O57" s="4">
        <v>0</v>
      </c>
      <c r="P57" s="4">
        <v>40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pans="1:46" ht="15.75" customHeight="1">
      <c r="A58" s="11" t="str">
        <f>B5</f>
        <v>KP-3898</v>
      </c>
      <c r="B58" s="11">
        <f>O5</f>
        <v>194</v>
      </c>
      <c r="C58" s="4">
        <v>30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2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</row>
    <row r="61" spans="1:46" ht="15.75" customHeight="1">
      <c r="A61" s="2" t="s">
        <v>147</v>
      </c>
      <c r="B61" s="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19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spans="1:46" ht="15">
      <c r="A62" s="24" t="s">
        <v>148</v>
      </c>
      <c r="B62" s="24" t="s">
        <v>20</v>
      </c>
      <c r="C62" s="24" t="s">
        <v>27</v>
      </c>
      <c r="D62" s="24" t="s">
        <v>29</v>
      </c>
      <c r="E62" s="24" t="s">
        <v>32</v>
      </c>
      <c r="F62" s="24" t="s">
        <v>34</v>
      </c>
      <c r="G62" s="24" t="s">
        <v>35</v>
      </c>
      <c r="H62" s="24" t="s">
        <v>37</v>
      </c>
      <c r="I62" s="24" t="s">
        <v>40</v>
      </c>
      <c r="J62" s="24" t="s">
        <v>45</v>
      </c>
      <c r="K62" s="24" t="s">
        <v>49</v>
      </c>
      <c r="L62" s="24" t="s">
        <v>54</v>
      </c>
      <c r="M62" s="24" t="s">
        <v>57</v>
      </c>
      <c r="N62" s="24" t="s">
        <v>59</v>
      </c>
      <c r="O62" s="24" t="s">
        <v>62</v>
      </c>
      <c r="P62" s="24" t="s">
        <v>65</v>
      </c>
      <c r="Q62" s="24" t="s">
        <v>67</v>
      </c>
      <c r="R62" s="24" t="s">
        <v>70</v>
      </c>
      <c r="S62" s="24" t="s">
        <v>73</v>
      </c>
      <c r="T62" s="24" t="s">
        <v>78</v>
      </c>
      <c r="U62" s="24" t="s">
        <v>82</v>
      </c>
      <c r="V62" s="24" t="s">
        <v>84</v>
      </c>
      <c r="W62" s="24" t="s">
        <v>87</v>
      </c>
      <c r="X62" s="24" t="s">
        <v>92</v>
      </c>
      <c r="Y62" s="24" t="s">
        <v>94</v>
      </c>
      <c r="Z62" s="24" t="s">
        <v>97</v>
      </c>
      <c r="AA62" s="24" t="s">
        <v>100</v>
      </c>
      <c r="AB62" s="24" t="s">
        <v>102</v>
      </c>
      <c r="AC62" s="24" t="s">
        <v>105</v>
      </c>
      <c r="AD62" s="24" t="s">
        <v>109</v>
      </c>
      <c r="AE62" s="24" t="s">
        <v>111</v>
      </c>
      <c r="AF62" s="24" t="s">
        <v>114</v>
      </c>
      <c r="AG62" s="24" t="s">
        <v>117</v>
      </c>
      <c r="AH62" s="24" t="s">
        <v>120</v>
      </c>
      <c r="AI62" s="24" t="s">
        <v>123</v>
      </c>
      <c r="AJ62" s="24" t="s">
        <v>125</v>
      </c>
      <c r="AK62" s="24" t="s">
        <v>128</v>
      </c>
      <c r="AL62" s="24" t="s">
        <v>131</v>
      </c>
      <c r="AM62" s="24" t="s">
        <v>134</v>
      </c>
      <c r="AN62" s="24" t="s">
        <v>137</v>
      </c>
      <c r="AO62" s="24" t="s">
        <v>140</v>
      </c>
      <c r="AP62" s="24" t="s">
        <v>143</v>
      </c>
      <c r="AQ62" s="24" t="s">
        <v>145</v>
      </c>
      <c r="AR62" s="24" t="s">
        <v>42</v>
      </c>
      <c r="AS62" s="24" t="s">
        <v>51</v>
      </c>
      <c r="AT62" s="24" t="s">
        <v>75</v>
      </c>
    </row>
    <row r="63" spans="1:46" ht="13">
      <c r="A63" t="s">
        <v>149</v>
      </c>
      <c r="B63">
        <v>50</v>
      </c>
      <c r="C63">
        <v>32</v>
      </c>
      <c r="D63">
        <v>32</v>
      </c>
      <c r="E63">
        <v>16</v>
      </c>
      <c r="F63">
        <v>32</v>
      </c>
      <c r="G63">
        <v>0</v>
      </c>
      <c r="H63">
        <v>30</v>
      </c>
      <c r="I63">
        <v>10</v>
      </c>
      <c r="J63">
        <v>80</v>
      </c>
      <c r="K63">
        <v>0</v>
      </c>
      <c r="L63">
        <v>32</v>
      </c>
      <c r="M63">
        <v>16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40</v>
      </c>
      <c r="U63">
        <v>40</v>
      </c>
      <c r="V63">
        <v>30</v>
      </c>
      <c r="W63">
        <v>60</v>
      </c>
      <c r="X63">
        <v>40</v>
      </c>
      <c r="Y63">
        <v>50</v>
      </c>
      <c r="Z63">
        <v>10</v>
      </c>
      <c r="AA63">
        <v>20</v>
      </c>
      <c r="AB63">
        <v>40</v>
      </c>
      <c r="AC63">
        <v>40</v>
      </c>
      <c r="AD63">
        <v>30</v>
      </c>
      <c r="AE63">
        <v>0</v>
      </c>
      <c r="AF63">
        <v>30</v>
      </c>
      <c r="AG63">
        <v>10</v>
      </c>
      <c r="AH63">
        <v>30</v>
      </c>
      <c r="AI63">
        <v>40</v>
      </c>
      <c r="AJ63">
        <v>20</v>
      </c>
      <c r="AK63">
        <v>80</v>
      </c>
      <c r="AL63">
        <v>20</v>
      </c>
      <c r="AM63">
        <v>30</v>
      </c>
      <c r="AN63">
        <v>20</v>
      </c>
      <c r="AO63">
        <v>10</v>
      </c>
      <c r="AP63">
        <v>40</v>
      </c>
      <c r="AQ63">
        <v>20</v>
      </c>
      <c r="AR63">
        <v>10</v>
      </c>
      <c r="AS63">
        <v>40</v>
      </c>
      <c r="AT63">
        <v>20</v>
      </c>
    </row>
    <row r="64" spans="1:46" ht="13">
      <c r="A64" t="s">
        <v>150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ht="13">
      <c r="A65" t="s">
        <v>151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50</v>
      </c>
      <c r="S65">
        <v>16</v>
      </c>
      <c r="T65">
        <v>0</v>
      </c>
      <c r="U65">
        <v>40</v>
      </c>
      <c r="V65">
        <v>0</v>
      </c>
      <c r="W65">
        <v>0</v>
      </c>
      <c r="X65">
        <v>0</v>
      </c>
      <c r="Y65">
        <v>35</v>
      </c>
      <c r="Z65">
        <v>0</v>
      </c>
      <c r="AA65">
        <v>0</v>
      </c>
      <c r="AB65">
        <v>40</v>
      </c>
      <c r="AC65">
        <v>8</v>
      </c>
      <c r="AD65">
        <v>0</v>
      </c>
      <c r="AE65">
        <v>0</v>
      </c>
      <c r="AF65">
        <v>0</v>
      </c>
      <c r="AG65">
        <v>10</v>
      </c>
      <c r="AH65">
        <v>0</v>
      </c>
      <c r="AI65">
        <v>0</v>
      </c>
      <c r="AJ65">
        <v>20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ht="13">
      <c r="A66" t="s">
        <v>152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32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3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ht="13">
      <c r="A67" t="s">
        <v>153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32</v>
      </c>
      <c r="M67">
        <v>0</v>
      </c>
      <c r="N67">
        <v>0</v>
      </c>
      <c r="O67">
        <v>32</v>
      </c>
      <c r="P67">
        <v>32</v>
      </c>
      <c r="Q67">
        <v>0</v>
      </c>
      <c r="R67">
        <v>0</v>
      </c>
      <c r="S67">
        <v>0</v>
      </c>
      <c r="T67">
        <v>20</v>
      </c>
      <c r="U67">
        <v>20</v>
      </c>
      <c r="V67">
        <v>0</v>
      </c>
      <c r="W67">
        <v>40</v>
      </c>
      <c r="X67">
        <v>30</v>
      </c>
      <c r="Y67">
        <v>0</v>
      </c>
      <c r="Z67">
        <v>20</v>
      </c>
      <c r="AA67">
        <v>20</v>
      </c>
      <c r="AB67">
        <v>0</v>
      </c>
      <c r="AC67">
        <v>0</v>
      </c>
      <c r="AD67">
        <v>0</v>
      </c>
      <c r="AE67">
        <v>0</v>
      </c>
      <c r="AF67">
        <v>30</v>
      </c>
      <c r="AG67">
        <v>10</v>
      </c>
      <c r="AH67">
        <v>0</v>
      </c>
      <c r="AI67">
        <v>8</v>
      </c>
      <c r="AJ67">
        <v>0</v>
      </c>
      <c r="AK67">
        <v>30</v>
      </c>
      <c r="AL67">
        <v>20</v>
      </c>
      <c r="AM67">
        <v>10</v>
      </c>
      <c r="AN67">
        <v>10</v>
      </c>
      <c r="AO67">
        <v>12</v>
      </c>
      <c r="AP67">
        <v>5</v>
      </c>
      <c r="AQ67">
        <v>20</v>
      </c>
      <c r="AR67">
        <v>20</v>
      </c>
      <c r="AS67">
        <v>5</v>
      </c>
      <c r="AT67">
        <v>20</v>
      </c>
    </row>
    <row r="68" spans="1:46" ht="13">
      <c r="A68" t="s">
        <v>154</v>
      </c>
      <c r="B68">
        <v>0</v>
      </c>
      <c r="C68">
        <v>0</v>
      </c>
      <c r="D68">
        <v>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32</v>
      </c>
      <c r="Q68">
        <v>40</v>
      </c>
      <c r="R68">
        <v>0</v>
      </c>
      <c r="S68">
        <v>0</v>
      </c>
      <c r="T68">
        <v>20</v>
      </c>
      <c r="U68">
        <v>20</v>
      </c>
      <c r="V68">
        <v>0</v>
      </c>
      <c r="W68">
        <v>20</v>
      </c>
      <c r="X68">
        <v>30</v>
      </c>
      <c r="Y68">
        <v>0</v>
      </c>
      <c r="Z68">
        <v>40</v>
      </c>
      <c r="AA68">
        <v>20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</v>
      </c>
      <c r="AH68">
        <v>0</v>
      </c>
      <c r="AI68">
        <v>8</v>
      </c>
      <c r="AJ68">
        <v>0</v>
      </c>
      <c r="AK68">
        <v>30</v>
      </c>
      <c r="AL68">
        <v>20</v>
      </c>
      <c r="AM68">
        <v>10</v>
      </c>
      <c r="AN68">
        <v>10</v>
      </c>
      <c r="AO68">
        <v>17</v>
      </c>
      <c r="AP68">
        <v>10</v>
      </c>
      <c r="AQ68">
        <v>20</v>
      </c>
      <c r="AR68">
        <v>40</v>
      </c>
      <c r="AS68">
        <v>20</v>
      </c>
      <c r="AT68">
        <v>5</v>
      </c>
    </row>
    <row r="69" spans="1:46" ht="13">
      <c r="A69" t="s">
        <v>155</v>
      </c>
      <c r="B69">
        <v>8</v>
      </c>
      <c r="C69">
        <v>0</v>
      </c>
      <c r="D69">
        <v>0</v>
      </c>
      <c r="E69">
        <v>0</v>
      </c>
      <c r="F69">
        <v>0</v>
      </c>
      <c r="G69">
        <v>0</v>
      </c>
      <c r="H69">
        <v>35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35</v>
      </c>
      <c r="V69">
        <v>0</v>
      </c>
      <c r="W69">
        <v>40</v>
      </c>
      <c r="X69">
        <v>0</v>
      </c>
      <c r="Y69">
        <v>0</v>
      </c>
      <c r="Z69">
        <v>0</v>
      </c>
      <c r="AA69">
        <v>0</v>
      </c>
      <c r="AB69">
        <v>20</v>
      </c>
      <c r="AC69">
        <v>20</v>
      </c>
      <c r="AD69">
        <v>0</v>
      </c>
      <c r="AE69">
        <v>0</v>
      </c>
      <c r="AF69">
        <v>0</v>
      </c>
      <c r="AG69">
        <v>15</v>
      </c>
      <c r="AH69">
        <v>0</v>
      </c>
      <c r="AI69">
        <v>0</v>
      </c>
      <c r="AJ69">
        <v>10</v>
      </c>
      <c r="AK69">
        <v>30</v>
      </c>
      <c r="AL69">
        <v>0</v>
      </c>
      <c r="AM69">
        <v>0</v>
      </c>
      <c r="AN69">
        <v>0</v>
      </c>
      <c r="AO69">
        <v>0</v>
      </c>
      <c r="AP69">
        <v>15</v>
      </c>
      <c r="AQ69">
        <v>0</v>
      </c>
      <c r="AR69">
        <v>0</v>
      </c>
      <c r="AS69">
        <v>0</v>
      </c>
      <c r="AT69">
        <v>10</v>
      </c>
    </row>
    <row r="70" spans="1:46" ht="13">
      <c r="A70" t="s">
        <v>156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130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ht="13">
      <c r="A71" t="s">
        <v>157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57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ht="13">
      <c r="A72" t="s">
        <v>158</v>
      </c>
      <c r="B72">
        <v>0</v>
      </c>
      <c r="C72">
        <v>0</v>
      </c>
      <c r="D72">
        <v>30</v>
      </c>
      <c r="E72">
        <v>0</v>
      </c>
      <c r="F72">
        <v>0</v>
      </c>
      <c r="G72">
        <v>0</v>
      </c>
      <c r="H72">
        <v>30</v>
      </c>
      <c r="I72">
        <v>100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ht="13">
      <c r="A73" t="s">
        <v>159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50</v>
      </c>
      <c r="S73">
        <v>20</v>
      </c>
      <c r="T73">
        <v>0</v>
      </c>
      <c r="U73">
        <v>40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20</v>
      </c>
      <c r="AC73">
        <v>100</v>
      </c>
      <c r="AD73">
        <v>0</v>
      </c>
      <c r="AE73">
        <v>0</v>
      </c>
      <c r="AF73">
        <v>0</v>
      </c>
      <c r="AG73">
        <v>20</v>
      </c>
      <c r="AH73">
        <v>0</v>
      </c>
      <c r="AI73">
        <v>0</v>
      </c>
      <c r="AJ73">
        <v>10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ht="13">
      <c r="A74" t="s">
        <v>160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30</v>
      </c>
      <c r="I74">
        <v>100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ht="13">
      <c r="A75" t="s">
        <v>161</v>
      </c>
      <c r="B75">
        <v>50</v>
      </c>
      <c r="C75">
        <v>54</v>
      </c>
      <c r="D75">
        <v>30</v>
      </c>
      <c r="E75">
        <v>120</v>
      </c>
      <c r="F75">
        <v>54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120</v>
      </c>
      <c r="N75">
        <v>0</v>
      </c>
      <c r="O75">
        <v>32</v>
      </c>
      <c r="P75">
        <v>130</v>
      </c>
      <c r="Q75">
        <v>32</v>
      </c>
      <c r="R75">
        <v>0</v>
      </c>
      <c r="S75">
        <v>0</v>
      </c>
      <c r="T75">
        <v>40</v>
      </c>
      <c r="U75">
        <v>40</v>
      </c>
      <c r="V75">
        <v>40</v>
      </c>
      <c r="W75">
        <v>100</v>
      </c>
      <c r="X75">
        <v>80</v>
      </c>
      <c r="Y75">
        <v>40</v>
      </c>
      <c r="Z75">
        <v>0</v>
      </c>
      <c r="AA75">
        <v>80</v>
      </c>
      <c r="AB75">
        <v>0</v>
      </c>
      <c r="AC75">
        <v>0</v>
      </c>
      <c r="AD75">
        <v>10</v>
      </c>
      <c r="AE75">
        <v>0</v>
      </c>
      <c r="AF75">
        <v>15</v>
      </c>
      <c r="AG75">
        <v>20</v>
      </c>
      <c r="AH75">
        <v>40</v>
      </c>
      <c r="AI75">
        <v>48</v>
      </c>
      <c r="AJ75">
        <v>0</v>
      </c>
      <c r="AK75">
        <v>80</v>
      </c>
      <c r="AL75">
        <v>80</v>
      </c>
      <c r="AM75">
        <v>40</v>
      </c>
      <c r="AN75">
        <v>70</v>
      </c>
      <c r="AO75">
        <v>55</v>
      </c>
      <c r="AP75">
        <v>80</v>
      </c>
      <c r="AQ75">
        <v>40</v>
      </c>
      <c r="AR75">
        <v>0</v>
      </c>
      <c r="AS75">
        <v>40</v>
      </c>
      <c r="AT75">
        <v>40</v>
      </c>
    </row>
    <row r="76" spans="1:46" ht="13">
      <c r="A76" t="s">
        <v>162</v>
      </c>
      <c r="B76">
        <v>40</v>
      </c>
      <c r="C76">
        <v>0</v>
      </c>
      <c r="D76">
        <v>0</v>
      </c>
      <c r="E76">
        <v>20</v>
      </c>
      <c r="F76">
        <v>0</v>
      </c>
      <c r="G76">
        <v>0</v>
      </c>
      <c r="H76">
        <v>40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100</v>
      </c>
      <c r="T76">
        <v>0</v>
      </c>
      <c r="U76">
        <v>0</v>
      </c>
      <c r="V76">
        <v>0</v>
      </c>
      <c r="W76">
        <v>40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20</v>
      </c>
      <c r="AQ76">
        <v>0</v>
      </c>
      <c r="AR76">
        <v>0</v>
      </c>
      <c r="AS76">
        <v>0</v>
      </c>
      <c r="AT76">
        <v>0</v>
      </c>
    </row>
    <row r="77" spans="1:46" ht="13">
      <c r="A77" t="s">
        <v>163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 ht="13">
      <c r="A78" t="s">
        <v>164</v>
      </c>
      <c r="B78">
        <v>46</v>
      </c>
      <c r="C78">
        <v>9</v>
      </c>
      <c r="D78">
        <v>9</v>
      </c>
      <c r="E78">
        <v>40</v>
      </c>
      <c r="F78">
        <v>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20</v>
      </c>
      <c r="U78">
        <v>20</v>
      </c>
      <c r="V78">
        <v>20</v>
      </c>
      <c r="W78">
        <v>40</v>
      </c>
      <c r="X78">
        <v>20</v>
      </c>
      <c r="Y78">
        <v>20</v>
      </c>
      <c r="Z78">
        <v>10</v>
      </c>
      <c r="AA78">
        <v>20</v>
      </c>
      <c r="AB78">
        <v>10</v>
      </c>
      <c r="AC78">
        <v>7</v>
      </c>
      <c r="AD78">
        <v>0</v>
      </c>
      <c r="AE78">
        <v>0</v>
      </c>
      <c r="AF78">
        <v>0</v>
      </c>
      <c r="AG78">
        <v>10</v>
      </c>
      <c r="AH78">
        <v>20</v>
      </c>
      <c r="AI78">
        <v>20</v>
      </c>
      <c r="AJ78">
        <v>5</v>
      </c>
      <c r="AK78">
        <v>20</v>
      </c>
      <c r="AL78">
        <v>20</v>
      </c>
      <c r="AM78">
        <v>15</v>
      </c>
      <c r="AN78">
        <v>20</v>
      </c>
      <c r="AO78">
        <v>10</v>
      </c>
      <c r="AP78">
        <v>40</v>
      </c>
      <c r="AQ78">
        <v>20</v>
      </c>
      <c r="AR78">
        <v>15</v>
      </c>
      <c r="AS78">
        <v>20</v>
      </c>
      <c r="AT78">
        <v>40</v>
      </c>
    </row>
    <row r="79" spans="1:46" ht="13">
      <c r="A79" t="s">
        <v>165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50</v>
      </c>
      <c r="S79">
        <v>40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ht="13">
      <c r="A80" t="s">
        <v>166</v>
      </c>
      <c r="B80">
        <v>0</v>
      </c>
      <c r="C80">
        <v>3</v>
      </c>
      <c r="D80">
        <v>0</v>
      </c>
      <c r="E80">
        <v>0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10</v>
      </c>
      <c r="W80">
        <v>10</v>
      </c>
      <c r="X80">
        <v>10</v>
      </c>
      <c r="Y80">
        <v>10</v>
      </c>
      <c r="Z80">
        <v>0</v>
      </c>
      <c r="AA80">
        <v>10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10</v>
      </c>
      <c r="AI80">
        <v>0</v>
      </c>
      <c r="AJ80">
        <v>0</v>
      </c>
      <c r="AK80">
        <v>10</v>
      </c>
      <c r="AL80">
        <v>10</v>
      </c>
      <c r="AM80">
        <v>0</v>
      </c>
      <c r="AN80">
        <v>10</v>
      </c>
      <c r="AO80">
        <v>1</v>
      </c>
      <c r="AP80">
        <v>10</v>
      </c>
      <c r="AQ80">
        <v>0</v>
      </c>
      <c r="AR80">
        <v>0</v>
      </c>
      <c r="AS80">
        <v>0</v>
      </c>
      <c r="AT80">
        <v>0</v>
      </c>
    </row>
    <row r="81" spans="1:46" ht="13">
      <c r="A81" t="s">
        <v>167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10</v>
      </c>
      <c r="AS81">
        <v>0</v>
      </c>
      <c r="AT81">
        <v>0</v>
      </c>
    </row>
    <row r="82" spans="1:46" ht="13">
      <c r="A82" t="s">
        <v>168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ht="13">
      <c r="A83" t="s">
        <v>169</v>
      </c>
      <c r="B83">
        <v>50</v>
      </c>
      <c r="C83">
        <v>74</v>
      </c>
      <c r="D83">
        <v>8</v>
      </c>
      <c r="E83">
        <v>24</v>
      </c>
      <c r="F83">
        <v>74</v>
      </c>
      <c r="G83">
        <v>0</v>
      </c>
      <c r="H83">
        <v>0</v>
      </c>
      <c r="I83">
        <v>0</v>
      </c>
      <c r="J83">
        <v>0</v>
      </c>
      <c r="K83">
        <v>40</v>
      </c>
      <c r="L83">
        <v>0</v>
      </c>
      <c r="M83">
        <v>30</v>
      </c>
      <c r="N83">
        <v>54</v>
      </c>
      <c r="O83">
        <v>0</v>
      </c>
      <c r="P83">
        <v>0</v>
      </c>
      <c r="Q83">
        <v>0</v>
      </c>
      <c r="R83">
        <v>0</v>
      </c>
      <c r="S83">
        <v>40</v>
      </c>
      <c r="T83">
        <v>10</v>
      </c>
      <c r="U83">
        <v>10</v>
      </c>
      <c r="V83">
        <v>10</v>
      </c>
      <c r="W83">
        <v>30</v>
      </c>
      <c r="X83">
        <v>10</v>
      </c>
      <c r="Y83">
        <v>10</v>
      </c>
      <c r="Z83">
        <v>10</v>
      </c>
      <c r="AA83">
        <v>10</v>
      </c>
      <c r="AB83">
        <v>10</v>
      </c>
      <c r="AC83">
        <v>42</v>
      </c>
      <c r="AD83">
        <v>10</v>
      </c>
      <c r="AE83">
        <v>18</v>
      </c>
      <c r="AF83">
        <v>10</v>
      </c>
      <c r="AG83">
        <v>3</v>
      </c>
      <c r="AH83">
        <v>10</v>
      </c>
      <c r="AI83">
        <v>6</v>
      </c>
      <c r="AJ83">
        <v>5</v>
      </c>
      <c r="AK83">
        <v>30</v>
      </c>
      <c r="AL83">
        <v>10</v>
      </c>
      <c r="AM83">
        <v>10</v>
      </c>
      <c r="AN83">
        <v>10</v>
      </c>
      <c r="AO83">
        <v>5</v>
      </c>
      <c r="AP83">
        <v>10</v>
      </c>
      <c r="AQ83">
        <v>10</v>
      </c>
      <c r="AR83">
        <v>10</v>
      </c>
      <c r="AS83">
        <v>5</v>
      </c>
      <c r="AT83">
        <v>10</v>
      </c>
    </row>
    <row r="84" spans="1:46" ht="13">
      <c r="A84" t="s">
        <v>170</v>
      </c>
      <c r="B84">
        <v>12</v>
      </c>
      <c r="C84">
        <v>20</v>
      </c>
      <c r="D84">
        <v>82</v>
      </c>
      <c r="E84">
        <v>20</v>
      </c>
      <c r="F84">
        <v>20</v>
      </c>
      <c r="G84">
        <v>30</v>
      </c>
      <c r="H84">
        <v>0</v>
      </c>
      <c r="I84">
        <v>0</v>
      </c>
      <c r="J84">
        <v>0</v>
      </c>
      <c r="K84">
        <v>80</v>
      </c>
      <c r="L84">
        <v>0</v>
      </c>
      <c r="M84">
        <v>20</v>
      </c>
      <c r="N84">
        <v>60</v>
      </c>
      <c r="O84">
        <v>0</v>
      </c>
      <c r="P84">
        <v>0</v>
      </c>
      <c r="Q84">
        <v>0</v>
      </c>
      <c r="R84">
        <v>0</v>
      </c>
      <c r="S84">
        <v>0</v>
      </c>
      <c r="T84">
        <v>10</v>
      </c>
      <c r="U84">
        <v>10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15</v>
      </c>
      <c r="AG84">
        <v>10</v>
      </c>
      <c r="AH84">
        <v>0</v>
      </c>
      <c r="AI84">
        <v>0</v>
      </c>
      <c r="AJ84">
        <v>0</v>
      </c>
      <c r="AK84">
        <v>30</v>
      </c>
      <c r="AL84">
        <v>0</v>
      </c>
      <c r="AM84">
        <v>5</v>
      </c>
      <c r="AN84">
        <v>0</v>
      </c>
      <c r="AO84">
        <v>0</v>
      </c>
      <c r="AP84">
        <v>5</v>
      </c>
      <c r="AQ84">
        <v>10</v>
      </c>
      <c r="AR84">
        <v>5</v>
      </c>
      <c r="AS84">
        <v>5</v>
      </c>
      <c r="AT84">
        <v>10</v>
      </c>
    </row>
    <row r="85" spans="1:46" ht="13">
      <c r="A85" t="s">
        <v>171</v>
      </c>
      <c r="B85">
        <v>276</v>
      </c>
      <c r="C85">
        <v>192</v>
      </c>
      <c r="D85">
        <f>SUM(D63:D84)</f>
        <v>194</v>
      </c>
      <c r="E85">
        <v>240</v>
      </c>
      <c r="F85">
        <v>192</v>
      </c>
      <c r="G85">
        <v>30</v>
      </c>
      <c r="H85">
        <v>165</v>
      </c>
      <c r="I85">
        <v>210</v>
      </c>
      <c r="J85">
        <v>80</v>
      </c>
      <c r="K85">
        <v>120</v>
      </c>
      <c r="L85">
        <v>64</v>
      </c>
      <c r="M85">
        <v>186</v>
      </c>
      <c r="N85">
        <v>114</v>
      </c>
      <c r="O85">
        <v>96</v>
      </c>
      <c r="P85">
        <v>324</v>
      </c>
      <c r="Q85">
        <v>72</v>
      </c>
      <c r="R85">
        <v>150</v>
      </c>
      <c r="S85">
        <v>256</v>
      </c>
      <c r="T85">
        <f>SUM(T63:T84)</f>
        <v>160</v>
      </c>
      <c r="U85">
        <f>SUM(U63:U84)</f>
        <v>275</v>
      </c>
      <c r="V85">
        <v>110</v>
      </c>
      <c r="W85">
        <v>340</v>
      </c>
      <c r="X85">
        <v>220</v>
      </c>
      <c r="Y85">
        <v>165</v>
      </c>
      <c r="Z85">
        <v>90</v>
      </c>
      <c r="AA85">
        <v>180</v>
      </c>
      <c r="AB85">
        <v>140</v>
      </c>
      <c r="AC85">
        <f>SUM(AC63:AC84)</f>
        <v>220</v>
      </c>
      <c r="AD85">
        <v>120</v>
      </c>
      <c r="AE85">
        <v>90</v>
      </c>
      <c r="AF85">
        <v>100</v>
      </c>
      <c r="AG85">
        <v>110</v>
      </c>
      <c r="AH85">
        <v>110</v>
      </c>
      <c r="AI85">
        <v>130</v>
      </c>
      <c r="AJ85">
        <v>70</v>
      </c>
      <c r="AK85">
        <v>340</v>
      </c>
      <c r="AL85">
        <v>180</v>
      </c>
      <c r="AM85">
        <v>120</v>
      </c>
      <c r="AN85">
        <v>150</v>
      </c>
      <c r="AO85">
        <v>90</v>
      </c>
      <c r="AP85">
        <v>130</v>
      </c>
      <c r="AQ85">
        <v>160</v>
      </c>
      <c r="AR85">
        <v>140</v>
      </c>
      <c r="AS85">
        <v>190</v>
      </c>
      <c r="AT85">
        <v>120</v>
      </c>
    </row>
    <row r="87" spans="1:46" ht="13">
      <c r="A87" s="3" t="s">
        <v>172</v>
      </c>
      <c r="B87" s="3"/>
    </row>
    <row r="88" spans="1:46" ht="15">
      <c r="A88" s="24" t="s">
        <v>173</v>
      </c>
      <c r="B88" s="24" t="s">
        <v>174</v>
      </c>
      <c r="C88" s="24" t="s">
        <v>175</v>
      </c>
      <c r="D88" s="4"/>
    </row>
    <row r="89" spans="1:46" ht="13">
      <c r="A89" t="s">
        <v>29</v>
      </c>
      <c r="B89" t="s">
        <v>27</v>
      </c>
      <c r="C89" t="s">
        <v>176</v>
      </c>
    </row>
    <row r="90" spans="1:46" ht="13">
      <c r="A90" t="s">
        <v>45</v>
      </c>
      <c r="B90" t="s">
        <v>20</v>
      </c>
      <c r="C90" t="s">
        <v>176</v>
      </c>
    </row>
    <row r="91" spans="1:46" ht="13">
      <c r="A91" t="s">
        <v>37</v>
      </c>
      <c r="B91" t="s">
        <v>40</v>
      </c>
      <c r="C91" t="s">
        <v>176</v>
      </c>
    </row>
    <row r="92" spans="1:46" ht="13">
      <c r="A92" t="s">
        <v>27</v>
      </c>
      <c r="B92" t="s">
        <v>49</v>
      </c>
      <c r="C92" t="s">
        <v>177</v>
      </c>
    </row>
    <row r="93" spans="1:46" ht="13">
      <c r="A93" t="s">
        <v>54</v>
      </c>
      <c r="B93" t="s">
        <v>73</v>
      </c>
      <c r="C93" t="s">
        <v>178</v>
      </c>
    </row>
    <row r="94" spans="1:46" ht="13">
      <c r="A94" t="s">
        <v>78</v>
      </c>
      <c r="B94" t="s">
        <v>82</v>
      </c>
      <c r="C94" t="s">
        <v>176</v>
      </c>
    </row>
    <row r="95" spans="1:46" ht="13">
      <c r="A95" t="s">
        <v>54</v>
      </c>
      <c r="B95" t="s">
        <v>57</v>
      </c>
      <c r="C95" t="s">
        <v>176</v>
      </c>
    </row>
    <row r="96" spans="1:46" ht="13">
      <c r="A96" t="s">
        <v>57</v>
      </c>
      <c r="B96" t="s">
        <v>59</v>
      </c>
      <c r="C96" t="s">
        <v>176</v>
      </c>
    </row>
    <row r="97" spans="1:8" ht="13">
      <c r="A97" t="s">
        <v>62</v>
      </c>
      <c r="B97" t="s">
        <v>67</v>
      </c>
      <c r="C97" t="s">
        <v>177</v>
      </c>
    </row>
    <row r="98" spans="1:8" ht="13">
      <c r="A98" t="s">
        <v>70</v>
      </c>
      <c r="B98" t="s">
        <v>73</v>
      </c>
      <c r="C98" t="s">
        <v>177</v>
      </c>
      <c r="H98" s="23"/>
    </row>
    <row r="99" spans="1:8" ht="13">
      <c r="A99" t="s">
        <v>78</v>
      </c>
      <c r="B99" t="s">
        <v>84</v>
      </c>
      <c r="C99" t="s">
        <v>176</v>
      </c>
    </row>
    <row r="100" spans="1:8" ht="13">
      <c r="A100" t="s">
        <v>87</v>
      </c>
      <c r="B100" t="s">
        <v>92</v>
      </c>
      <c r="C100" t="s">
        <v>177</v>
      </c>
    </row>
    <row r="101" spans="1:8" ht="13">
      <c r="A101" t="s">
        <v>97</v>
      </c>
      <c r="B101" t="s">
        <v>100</v>
      </c>
      <c r="C101" t="s">
        <v>176</v>
      </c>
    </row>
    <row r="102" spans="1:8" ht="13">
      <c r="A102" t="s">
        <v>105</v>
      </c>
      <c r="B102" t="s">
        <v>109</v>
      </c>
      <c r="C102" t="s">
        <v>177</v>
      </c>
    </row>
    <row r="103" spans="1:8" ht="13">
      <c r="A103" t="s">
        <v>114</v>
      </c>
      <c r="B103" t="s">
        <v>117</v>
      </c>
      <c r="C103" t="s">
        <v>178</v>
      </c>
    </row>
    <row r="104" spans="1:8" ht="13">
      <c r="A104" t="s">
        <v>120</v>
      </c>
      <c r="B104" t="s">
        <v>123</v>
      </c>
      <c r="C104" t="s">
        <v>177</v>
      </c>
    </row>
    <row r="105" spans="1:8" ht="13">
      <c r="A105" t="s">
        <v>128</v>
      </c>
      <c r="B105" t="s">
        <v>131</v>
      </c>
      <c r="C105" t="s">
        <v>178</v>
      </c>
    </row>
    <row r="106" spans="1:8" ht="13">
      <c r="A106" t="s">
        <v>134</v>
      </c>
      <c r="B106" t="s">
        <v>137</v>
      </c>
      <c r="C106" t="s">
        <v>177</v>
      </c>
    </row>
    <row r="107" spans="1:8" ht="13">
      <c r="A107" t="s">
        <v>140</v>
      </c>
      <c r="B107" t="s">
        <v>143</v>
      </c>
      <c r="C107" t="s">
        <v>176</v>
      </c>
    </row>
    <row r="108" spans="1:8" ht="13">
      <c r="A108" s="25"/>
      <c r="B108" s="25"/>
      <c r="C108" s="25"/>
    </row>
    <row r="109" spans="1:8" ht="13">
      <c r="A109" s="25"/>
      <c r="B109" s="25"/>
      <c r="C109" s="25"/>
    </row>
    <row r="110" spans="1:8" ht="13">
      <c r="A110" s="25"/>
      <c r="B110" s="25"/>
      <c r="C110" s="25"/>
    </row>
    <row r="112" spans="1:8" ht="15">
      <c r="A112" s="1" t="s">
        <v>179</v>
      </c>
      <c r="B112" s="1"/>
    </row>
    <row r="113" spans="1:6" ht="13">
      <c r="A113" s="4" t="s">
        <v>180</v>
      </c>
      <c r="B113" s="4" t="s">
        <v>5</v>
      </c>
      <c r="C113" s="4" t="s">
        <v>181</v>
      </c>
      <c r="D113" s="4" t="s">
        <v>182</v>
      </c>
      <c r="E113" s="4" t="s">
        <v>183</v>
      </c>
      <c r="F113" s="4" t="s">
        <v>184</v>
      </c>
    </row>
    <row r="114" spans="1:6" ht="13">
      <c r="A114" s="4" t="s">
        <v>185</v>
      </c>
      <c r="B114" s="4" t="s">
        <v>23</v>
      </c>
      <c r="C114" s="4" t="s">
        <v>161</v>
      </c>
      <c r="D114" s="4" t="s">
        <v>186</v>
      </c>
      <c r="E114" s="4" t="s">
        <v>187</v>
      </c>
      <c r="F114" s="4" t="s">
        <v>188</v>
      </c>
    </row>
    <row r="115" spans="1:6" ht="13">
      <c r="A115" s="4" t="s">
        <v>189</v>
      </c>
      <c r="B115" s="4" t="s">
        <v>23</v>
      </c>
      <c r="C115" s="4" t="s">
        <v>161</v>
      </c>
      <c r="D115" s="4" t="s">
        <v>186</v>
      </c>
      <c r="E115" s="4" t="s">
        <v>190</v>
      </c>
      <c r="F115" s="4" t="s">
        <v>188</v>
      </c>
    </row>
    <row r="116" spans="1:6" ht="13">
      <c r="A116" s="4" t="s">
        <v>191</v>
      </c>
      <c r="B116" s="4" t="s">
        <v>23</v>
      </c>
      <c r="C116" s="4" t="s">
        <v>161</v>
      </c>
      <c r="D116" s="4" t="s">
        <v>192</v>
      </c>
      <c r="E116" s="4" t="s">
        <v>193</v>
      </c>
      <c r="F116" s="4" t="s">
        <v>188</v>
      </c>
    </row>
    <row r="117" spans="1:6" ht="13">
      <c r="A117" s="4" t="s">
        <v>194</v>
      </c>
      <c r="B117" s="4" t="s">
        <v>23</v>
      </c>
      <c r="C117" s="4" t="s">
        <v>149</v>
      </c>
      <c r="D117" s="4" t="s">
        <v>192</v>
      </c>
      <c r="E117" s="4" t="s">
        <v>195</v>
      </c>
      <c r="F117" s="4" t="s">
        <v>188</v>
      </c>
    </row>
    <row r="118" spans="1:6" ht="13">
      <c r="A118" s="4" t="s">
        <v>196</v>
      </c>
      <c r="B118" s="4" t="s">
        <v>23</v>
      </c>
      <c r="C118" s="4" t="s">
        <v>155</v>
      </c>
      <c r="D118" s="4" t="s">
        <v>192</v>
      </c>
      <c r="E118" s="4" t="s">
        <v>197</v>
      </c>
      <c r="F118" s="4" t="s">
        <v>198</v>
      </c>
    </row>
    <row r="119" spans="1:6" ht="13">
      <c r="A119" s="4" t="s">
        <v>196</v>
      </c>
      <c r="B119" s="4" t="s">
        <v>81</v>
      </c>
      <c r="C119" s="4" t="s">
        <v>155</v>
      </c>
      <c r="D119" s="4" t="s">
        <v>192</v>
      </c>
      <c r="E119" s="4" t="s">
        <v>197</v>
      </c>
      <c r="F119" s="4" t="s">
        <v>198</v>
      </c>
    </row>
    <row r="120" spans="1:6" ht="13">
      <c r="A120" s="4" t="s">
        <v>199</v>
      </c>
      <c r="B120" s="4" t="s">
        <v>23</v>
      </c>
      <c r="C120" s="4" t="s">
        <v>162</v>
      </c>
      <c r="D120" s="4" t="s">
        <v>200</v>
      </c>
      <c r="E120" s="4" t="s">
        <v>201</v>
      </c>
      <c r="F120" s="4" t="s">
        <v>198</v>
      </c>
    </row>
    <row r="121" spans="1:6" ht="13">
      <c r="A121" s="4" t="s">
        <v>199</v>
      </c>
      <c r="B121" s="4" t="s">
        <v>90</v>
      </c>
      <c r="C121" s="4" t="s">
        <v>162</v>
      </c>
      <c r="D121" s="4" t="s">
        <v>200</v>
      </c>
      <c r="E121" s="4" t="s">
        <v>201</v>
      </c>
      <c r="F121" s="4" t="s">
        <v>198</v>
      </c>
    </row>
    <row r="122" spans="1:6" ht="13">
      <c r="A122" s="4" t="s">
        <v>202</v>
      </c>
      <c r="B122" s="4" t="s">
        <v>23</v>
      </c>
      <c r="C122" s="4" t="s">
        <v>162</v>
      </c>
      <c r="D122" s="4" t="s">
        <v>186</v>
      </c>
      <c r="E122" s="4" t="s">
        <v>203</v>
      </c>
      <c r="F122" s="4" t="s">
        <v>188</v>
      </c>
    </row>
    <row r="123" spans="1:6" ht="13">
      <c r="A123" s="4" t="s">
        <v>204</v>
      </c>
      <c r="B123" s="4" t="s">
        <v>23</v>
      </c>
      <c r="C123" s="4" t="s">
        <v>169</v>
      </c>
      <c r="D123" s="4" t="s">
        <v>186</v>
      </c>
      <c r="E123" s="4" t="s">
        <v>205</v>
      </c>
      <c r="F123" s="4" t="s">
        <v>188</v>
      </c>
    </row>
    <row r="124" spans="1:6" ht="13">
      <c r="A124" s="4" t="s">
        <v>206</v>
      </c>
      <c r="B124" s="4" t="s">
        <v>23</v>
      </c>
      <c r="C124" s="4" t="s">
        <v>169</v>
      </c>
      <c r="D124" s="4" t="s">
        <v>200</v>
      </c>
      <c r="E124" s="4" t="s">
        <v>207</v>
      </c>
      <c r="F124" s="4" t="s">
        <v>188</v>
      </c>
    </row>
    <row r="125" spans="1:6" ht="13">
      <c r="A125" s="4" t="s">
        <v>208</v>
      </c>
      <c r="B125" s="4" t="s">
        <v>23</v>
      </c>
      <c r="C125" s="4" t="s">
        <v>170</v>
      </c>
      <c r="D125" s="4" t="s">
        <v>192</v>
      </c>
      <c r="E125" s="4" t="s">
        <v>209</v>
      </c>
      <c r="F125" s="4" t="s">
        <v>188</v>
      </c>
    </row>
    <row r="126" spans="1:6" ht="13">
      <c r="A126" s="4" t="s">
        <v>210</v>
      </c>
      <c r="B126" s="4" t="s">
        <v>28</v>
      </c>
      <c r="C126" s="4" t="s">
        <v>169</v>
      </c>
      <c r="D126" s="4" t="s">
        <v>186</v>
      </c>
      <c r="E126" s="4" t="s">
        <v>211</v>
      </c>
      <c r="F126" s="4" t="s">
        <v>188</v>
      </c>
    </row>
    <row r="127" spans="1:6" ht="13">
      <c r="A127" s="4" t="s">
        <v>212</v>
      </c>
      <c r="B127" s="4" t="s">
        <v>28</v>
      </c>
      <c r="C127" s="4" t="s">
        <v>169</v>
      </c>
      <c r="D127" s="4" t="s">
        <v>192</v>
      </c>
      <c r="E127" s="4" t="s">
        <v>213</v>
      </c>
      <c r="F127" s="4" t="s">
        <v>188</v>
      </c>
    </row>
    <row r="128" spans="1:6" ht="13">
      <c r="A128" s="4" t="s">
        <v>214</v>
      </c>
      <c r="B128" s="4" t="s">
        <v>28</v>
      </c>
      <c r="C128" s="4" t="s">
        <v>170</v>
      </c>
      <c r="D128" s="4" t="s">
        <v>186</v>
      </c>
      <c r="E128" s="4" t="s">
        <v>215</v>
      </c>
      <c r="F128" s="4" t="s">
        <v>188</v>
      </c>
    </row>
    <row r="129" spans="1:6" ht="13">
      <c r="A129" s="4" t="s">
        <v>216</v>
      </c>
      <c r="B129" s="4" t="s">
        <v>28</v>
      </c>
      <c r="C129" s="4" t="s">
        <v>161</v>
      </c>
      <c r="D129" s="4" t="s">
        <v>192</v>
      </c>
      <c r="E129" s="4" t="s">
        <v>217</v>
      </c>
      <c r="F129" s="4" t="s">
        <v>188</v>
      </c>
    </row>
    <row r="130" spans="1:6" ht="13">
      <c r="A130" s="4" t="s">
        <v>218</v>
      </c>
      <c r="B130" s="4" t="s">
        <v>30</v>
      </c>
      <c r="C130" s="4" t="s">
        <v>169</v>
      </c>
      <c r="D130" s="4" t="s">
        <v>186</v>
      </c>
      <c r="E130" s="4" t="s">
        <v>219</v>
      </c>
      <c r="F130" s="4" t="s">
        <v>188</v>
      </c>
    </row>
    <row r="131" spans="1:6" ht="13">
      <c r="A131" s="4" t="s">
        <v>220</v>
      </c>
      <c r="B131" s="4" t="s">
        <v>30</v>
      </c>
      <c r="C131" s="4" t="s">
        <v>221</v>
      </c>
      <c r="D131" s="4" t="s">
        <v>186</v>
      </c>
      <c r="E131" s="4" t="s">
        <v>222</v>
      </c>
      <c r="F131" s="4" t="s">
        <v>188</v>
      </c>
    </row>
    <row r="132" spans="1:6" ht="13">
      <c r="A132" s="4" t="s">
        <v>223</v>
      </c>
      <c r="B132" s="4" t="s">
        <v>30</v>
      </c>
      <c r="C132" s="4" t="s">
        <v>158</v>
      </c>
      <c r="D132" s="4" t="s">
        <v>186</v>
      </c>
      <c r="E132" s="4" t="s">
        <v>224</v>
      </c>
      <c r="F132" s="4" t="s">
        <v>188</v>
      </c>
    </row>
    <row r="133" spans="1:6" ht="13">
      <c r="A133" s="4" t="s">
        <v>225</v>
      </c>
      <c r="B133" s="4" t="s">
        <v>30</v>
      </c>
      <c r="C133" s="4" t="s">
        <v>153</v>
      </c>
      <c r="D133" s="4" t="s">
        <v>192</v>
      </c>
      <c r="E133" s="4" t="s">
        <v>226</v>
      </c>
      <c r="F133" s="4" t="s">
        <v>188</v>
      </c>
    </row>
    <row r="134" spans="1:6" ht="13">
      <c r="A134" s="4" t="s">
        <v>227</v>
      </c>
      <c r="B134" s="4" t="s">
        <v>30</v>
      </c>
      <c r="C134" s="4" t="s">
        <v>228</v>
      </c>
      <c r="D134" s="4" t="s">
        <v>192</v>
      </c>
      <c r="E134" s="4" t="s">
        <v>229</v>
      </c>
      <c r="F134" s="4" t="s">
        <v>198</v>
      </c>
    </row>
    <row r="135" spans="1:6" ht="13">
      <c r="A135" s="4" t="s">
        <v>227</v>
      </c>
      <c r="B135" s="4" t="s">
        <v>28</v>
      </c>
      <c r="C135" s="4" t="s">
        <v>228</v>
      </c>
      <c r="D135" s="4" t="s">
        <v>192</v>
      </c>
      <c r="E135" s="4" t="s">
        <v>229</v>
      </c>
      <c r="F135" s="4" t="s">
        <v>198</v>
      </c>
    </row>
    <row r="136" spans="1:6" ht="13">
      <c r="A136" s="4" t="s">
        <v>230</v>
      </c>
      <c r="B136" s="4" t="s">
        <v>30</v>
      </c>
      <c r="C136" s="4" t="s">
        <v>156</v>
      </c>
      <c r="D136" s="4" t="s">
        <v>192</v>
      </c>
      <c r="E136" s="4" t="s">
        <v>231</v>
      </c>
      <c r="F136" s="4" t="s">
        <v>188</v>
      </c>
    </row>
    <row r="137" spans="1:6" ht="13">
      <c r="A137" s="4" t="s">
        <v>232</v>
      </c>
      <c r="B137" s="4" t="s">
        <v>23</v>
      </c>
      <c r="C137" s="4" t="s">
        <v>151</v>
      </c>
      <c r="D137" s="4" t="s">
        <v>192</v>
      </c>
      <c r="E137" s="4" t="s">
        <v>233</v>
      </c>
      <c r="F137" s="4" t="s">
        <v>188</v>
      </c>
    </row>
    <row r="138" spans="1:6" ht="13">
      <c r="A138" s="4" t="s">
        <v>234</v>
      </c>
      <c r="B138" s="4" t="s">
        <v>23</v>
      </c>
      <c r="C138" s="4" t="s">
        <v>159</v>
      </c>
      <c r="D138" s="4" t="s">
        <v>192</v>
      </c>
      <c r="E138" s="4" t="s">
        <v>235</v>
      </c>
      <c r="F138" s="4" t="s">
        <v>188</v>
      </c>
    </row>
    <row r="139" spans="1:6" ht="13">
      <c r="A139" s="4" t="s">
        <v>236</v>
      </c>
      <c r="B139" s="4" t="s">
        <v>23</v>
      </c>
      <c r="C139" s="4" t="s">
        <v>165</v>
      </c>
      <c r="D139" s="4" t="s">
        <v>192</v>
      </c>
      <c r="E139" s="4" t="s">
        <v>237</v>
      </c>
      <c r="F139" s="4" t="s">
        <v>188</v>
      </c>
    </row>
    <row r="140" spans="1:6" ht="13">
      <c r="A140" s="4" t="s">
        <v>238</v>
      </c>
      <c r="B140" s="4" t="s">
        <v>81</v>
      </c>
      <c r="C140" s="4" t="s">
        <v>161</v>
      </c>
      <c r="D140" s="4" t="s">
        <v>192</v>
      </c>
      <c r="E140" s="4" t="s">
        <v>239</v>
      </c>
      <c r="F140" s="4" t="s">
        <v>188</v>
      </c>
    </row>
    <row r="141" spans="1:6" ht="13">
      <c r="A141" s="4" t="s">
        <v>240</v>
      </c>
      <c r="B141" s="4" t="s">
        <v>81</v>
      </c>
      <c r="C141" s="4" t="s">
        <v>149</v>
      </c>
      <c r="D141" s="4" t="s">
        <v>186</v>
      </c>
      <c r="E141" s="4" t="s">
        <v>241</v>
      </c>
      <c r="F141" s="4" t="s">
        <v>188</v>
      </c>
    </row>
    <row r="142" spans="1:6" ht="13">
      <c r="A142" s="4" t="s">
        <v>242</v>
      </c>
      <c r="B142" s="4" t="s">
        <v>81</v>
      </c>
      <c r="C142" s="4" t="s">
        <v>151</v>
      </c>
      <c r="D142" s="4" t="s">
        <v>186</v>
      </c>
      <c r="E142" s="4" t="s">
        <v>243</v>
      </c>
      <c r="F142" s="4" t="s">
        <v>198</v>
      </c>
    </row>
    <row r="143" spans="1:6" ht="13">
      <c r="A143" s="4" t="s">
        <v>242</v>
      </c>
      <c r="B143" s="4" t="s">
        <v>108</v>
      </c>
      <c r="C143" s="4" t="s">
        <v>151</v>
      </c>
      <c r="D143" s="4" t="s">
        <v>186</v>
      </c>
      <c r="E143" s="4" t="s">
        <v>243</v>
      </c>
      <c r="F143" s="4" t="s">
        <v>198</v>
      </c>
    </row>
    <row r="144" spans="1:6" ht="13">
      <c r="A144" s="4" t="s">
        <v>244</v>
      </c>
      <c r="B144" s="4" t="s">
        <v>90</v>
      </c>
      <c r="C144" s="4" t="s">
        <v>161</v>
      </c>
      <c r="D144" s="4" t="s">
        <v>186</v>
      </c>
      <c r="E144" s="4" t="s">
        <v>245</v>
      </c>
      <c r="F144" s="4" t="s">
        <v>188</v>
      </c>
    </row>
    <row r="145" spans="1:6" ht="13">
      <c r="A145" s="4" t="s">
        <v>246</v>
      </c>
      <c r="B145" s="4" t="s">
        <v>90</v>
      </c>
      <c r="C145" s="4" t="s">
        <v>149</v>
      </c>
      <c r="D145" s="4" t="s">
        <v>192</v>
      </c>
      <c r="E145" s="4" t="s">
        <v>247</v>
      </c>
      <c r="F145" s="4" t="s">
        <v>188</v>
      </c>
    </row>
    <row r="146" spans="1:6" ht="13">
      <c r="A146" s="4" t="s">
        <v>248</v>
      </c>
      <c r="B146" s="4" t="s">
        <v>108</v>
      </c>
      <c r="C146" s="4" t="s">
        <v>161</v>
      </c>
      <c r="D146" s="4" t="s">
        <v>192</v>
      </c>
      <c r="E146" s="4" t="s">
        <v>249</v>
      </c>
      <c r="F146" s="4" t="s">
        <v>188</v>
      </c>
    </row>
    <row r="147" spans="1:6" ht="13">
      <c r="A147" s="4" t="s">
        <v>250</v>
      </c>
      <c r="B147" s="4" t="s">
        <v>108</v>
      </c>
      <c r="C147" s="4" t="s">
        <v>169</v>
      </c>
      <c r="D147" s="4" t="s">
        <v>186</v>
      </c>
      <c r="E147" s="4" t="s">
        <v>251</v>
      </c>
      <c r="F147" s="4" t="s">
        <v>188</v>
      </c>
    </row>
    <row r="150" spans="1:6" ht="15">
      <c r="A150" s="1" t="s">
        <v>252</v>
      </c>
    </row>
    <row r="151" spans="1:6" ht="13">
      <c r="A151" s="4" t="s">
        <v>253</v>
      </c>
      <c r="B151" s="4" t="s">
        <v>5</v>
      </c>
      <c r="C151" s="4" t="s">
        <v>254</v>
      </c>
      <c r="D151" s="4" t="s">
        <v>255</v>
      </c>
    </row>
    <row r="152" spans="1:6" ht="13">
      <c r="A152" s="6">
        <v>46146</v>
      </c>
      <c r="B152" s="4" t="s">
        <v>23</v>
      </c>
      <c r="C152" s="4">
        <v>8</v>
      </c>
      <c r="D152" s="4">
        <v>12</v>
      </c>
    </row>
    <row r="153" spans="1:6" ht="13">
      <c r="A153" s="6">
        <v>46160</v>
      </c>
      <c r="B153" s="4" t="s">
        <v>23</v>
      </c>
      <c r="C153" s="4">
        <v>12</v>
      </c>
      <c r="D153" s="4">
        <v>12</v>
      </c>
    </row>
    <row r="154" spans="1:6" ht="13">
      <c r="A154" s="6">
        <v>46007</v>
      </c>
      <c r="B154" s="4" t="s">
        <v>28</v>
      </c>
      <c r="C154" s="4">
        <v>14</v>
      </c>
      <c r="D154" s="4">
        <v>17</v>
      </c>
    </row>
    <row r="155" spans="1:6" ht="13">
      <c r="A155" s="6">
        <v>46021</v>
      </c>
      <c r="B155" s="4" t="s">
        <v>28</v>
      </c>
      <c r="C155" s="4">
        <v>18</v>
      </c>
      <c r="D155" s="4">
        <v>17</v>
      </c>
    </row>
    <row r="156" spans="1:6" ht="13">
      <c r="A156" s="6">
        <v>45993</v>
      </c>
      <c r="B156" s="4" t="s">
        <v>30</v>
      </c>
      <c r="C156" s="4">
        <v>8</v>
      </c>
      <c r="D156" s="4">
        <v>10</v>
      </c>
    </row>
    <row r="157" spans="1:6" ht="13">
      <c r="A157" s="6">
        <v>46007</v>
      </c>
      <c r="B157" s="4" t="s">
        <v>30</v>
      </c>
      <c r="C157" s="4">
        <v>10</v>
      </c>
      <c r="D157" s="4">
        <v>10</v>
      </c>
    </row>
    <row r="158" spans="1:6" ht="13">
      <c r="A158" s="6">
        <v>46127</v>
      </c>
      <c r="B158" s="4" t="s">
        <v>81</v>
      </c>
      <c r="C158" s="4">
        <v>15</v>
      </c>
      <c r="D158" s="4">
        <v>15</v>
      </c>
    </row>
    <row r="159" spans="1:6" ht="13">
      <c r="A159" s="6">
        <v>46141</v>
      </c>
      <c r="B159" s="4" t="s">
        <v>81</v>
      </c>
      <c r="C159" s="4">
        <v>12</v>
      </c>
      <c r="D159" s="4">
        <v>15</v>
      </c>
    </row>
    <row r="160" spans="1:6" ht="13">
      <c r="A160" s="6">
        <v>46127</v>
      </c>
      <c r="B160" s="4" t="s">
        <v>90</v>
      </c>
      <c r="C160" s="4">
        <v>10</v>
      </c>
      <c r="D160" s="4">
        <v>12</v>
      </c>
    </row>
    <row r="161" spans="1:4" ht="13">
      <c r="A161" s="6">
        <v>46141</v>
      </c>
      <c r="B161" s="4" t="s">
        <v>90</v>
      </c>
      <c r="C161" s="4">
        <v>11</v>
      </c>
      <c r="D161" s="4">
        <v>12</v>
      </c>
    </row>
    <row r="162" spans="1:4" ht="13">
      <c r="A162" s="6">
        <v>46127</v>
      </c>
      <c r="B162" s="4" t="s">
        <v>108</v>
      </c>
      <c r="C162" s="4">
        <v>9</v>
      </c>
      <c r="D162" s="4">
        <v>10</v>
      </c>
    </row>
    <row r="163" spans="1:4" ht="13">
      <c r="A163" s="6">
        <v>46141</v>
      </c>
      <c r="B163" s="4" t="s">
        <v>108</v>
      </c>
      <c r="C163" s="4">
        <v>10</v>
      </c>
      <c r="D163" s="4">
        <v>10</v>
      </c>
    </row>
    <row r="165" spans="1:4" ht="13">
      <c r="A165" s="2" t="s">
        <v>256</v>
      </c>
      <c r="B165" s="3"/>
    </row>
    <row r="166" spans="1:4" ht="13">
      <c r="A166" s="7" t="s">
        <v>257</v>
      </c>
      <c r="B166" s="15"/>
    </row>
    <row r="167" spans="1:4" ht="13">
      <c r="A167" s="8" t="s">
        <v>48</v>
      </c>
      <c r="B167" s="16"/>
    </row>
    <row r="168" spans="1:4" ht="13">
      <c r="A168" s="8" t="s">
        <v>258</v>
      </c>
      <c r="B168" s="16"/>
    </row>
    <row r="169" spans="1:4" ht="13">
      <c r="A169" s="8" t="s">
        <v>91</v>
      </c>
      <c r="B169" s="16"/>
    </row>
    <row r="170" spans="1:4" ht="13">
      <c r="A170" s="8" t="s">
        <v>259</v>
      </c>
      <c r="B170" s="16"/>
    </row>
    <row r="171" spans="1:4" ht="13">
      <c r="A171" s="8" t="s">
        <v>25</v>
      </c>
      <c r="B171" s="16"/>
    </row>
    <row r="172" spans="1:4" ht="13">
      <c r="A172" s="8" t="s">
        <v>260</v>
      </c>
      <c r="B172" s="16"/>
    </row>
    <row r="173" spans="1:4" ht="13">
      <c r="A173" s="8" t="s">
        <v>261</v>
      </c>
      <c r="B173" s="16"/>
    </row>
    <row r="175" spans="1:4" ht="13">
      <c r="A175" s="9" t="s">
        <v>262</v>
      </c>
      <c r="B175" s="17"/>
    </row>
    <row r="176" spans="1:4" ht="13">
      <c r="A176" s="8" t="s">
        <v>263</v>
      </c>
      <c r="B176" s="16"/>
    </row>
    <row r="177" spans="1:2" ht="13">
      <c r="A177" s="8" t="s">
        <v>264</v>
      </c>
      <c r="B177" s="16"/>
    </row>
    <row r="178" spans="1:2" ht="13">
      <c r="A178" s="8" t="s">
        <v>265</v>
      </c>
      <c r="B178" s="16"/>
    </row>
    <row r="179" spans="1:2" ht="13">
      <c r="A179" s="8" t="s">
        <v>266</v>
      </c>
      <c r="B179" s="16"/>
    </row>
    <row r="180" spans="1:2" ht="13">
      <c r="A180" s="4" t="s">
        <v>267</v>
      </c>
      <c r="B180" s="5"/>
    </row>
    <row r="182" spans="1:2" ht="13">
      <c r="A182" s="2" t="s">
        <v>268</v>
      </c>
      <c r="B182" s="3"/>
    </row>
    <row r="183" spans="1:2" ht="13">
      <c r="A183" s="8" t="s">
        <v>269</v>
      </c>
      <c r="B183" s="16"/>
    </row>
    <row r="184" spans="1:2" ht="13">
      <c r="A184" s="8" t="s">
        <v>270</v>
      </c>
      <c r="B184" s="16"/>
    </row>
    <row r="185" spans="1:2" ht="13">
      <c r="A185" s="8" t="s">
        <v>271</v>
      </c>
      <c r="B185" s="1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Датасет(обновленный)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Katya Golyagina</cp:lastModifiedBy>
  <dcterms:created xsi:type="dcterms:W3CDTF">2026-08-24T10:19:28Z</dcterms:created>
  <dcterms:modified xsi:type="dcterms:W3CDTF">2026-09-17T15:06:34Z</dcterms:modified>
</cp:coreProperties>
</file>